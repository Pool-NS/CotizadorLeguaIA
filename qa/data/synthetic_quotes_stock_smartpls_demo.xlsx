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f13b4bc86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55d3985f5764ed7"/>
    <x:sheet xmlns:r="http://schemas.openxmlformats.org/officeDocument/2006/relationships" name="Datos200" sheetId="2" r:id="Rf4b5898bcc384dba"/>
    <x:sheet xmlns:r="http://schemas.openxmlformats.org/officeDocument/2006/relationships" name="Inventario_demo" sheetId="3" r:id="Rbf48b442a3594467"/>
    <x:sheet xmlns:r="http://schemas.openxmlformats.org/officeDocument/2006/relationships" name="Tarifas_demo" sheetId="4" r:id="R0befded7d9b84918"/>
    <x:sheet xmlns:r="http://schemas.openxmlformats.org/officeDocument/2006/relationships" name="SmartPLS_guia" sheetId="5" r:id="R6bc04cc7220a4f1b"/>
    <x:sheet xmlns:r="http://schemas.openxmlformats.org/officeDocument/2006/relationships" name="PLS_solo_practica" sheetId="6" r:id="R65c95760839540a3"/>
    <x:sheet xmlns:r="http://schemas.openxmlformats.org/officeDocument/2006/relationships" name="Precios_por_validar" sheetId="7" r:id="Ra8dcaf4d66d0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0.0"/>
    <x:numFmt numFmtId="202" formatCode="0.00"/>
  </x:numFmts>
  <x:fonts count="11">
    <x:font>
      <x:sz val="11"/>
      <x:name val="Carlito"/>
    </x:font>
    <x:font>
      <x:b/>
      <x:sz val="18"/>
      <x:color rgb="FFFFFFFF"/>
      <x:name val="Aptos"/>
    </x:font>
    <x:font>
      <x:b/>
      <x:sz val="11"/>
      <x:color rgb="FF8A1C13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26324A"/>
      <x:name val="Aptos"/>
    </x:font>
    <x:font>
      <x:sz val="9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0"/>
      <x:name val="Aptos"/>
    </x:font>
    <x:font>
      <x:b/>
      <x:sz val="10"/>
      <x:color rgb="FF26324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6324A"/>
      </x:patternFill>
    </x:fill>
    <x:fill>
      <x:patternFill patternType="solid">
        <x:fgColor rgb="FFFCE8E6"/>
      </x:patternFill>
    </x:fill>
    <x:fill>
      <x:patternFill patternType="solid">
        <x:fgColor rgb="FF4169A1"/>
      </x:patternFill>
    </x:fill>
    <x:fill>
      <x:patternFill patternType="solid">
        <x:fgColor rgb="FFEAF0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7" fillId="0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aab0b39104c5d" /><Relationship Type="http://schemas.openxmlformats.org/officeDocument/2006/relationships/theme" Target="/xl/theme/theme1.xml" Id="R5ff2f3409ab640c0" /><Relationship Type="http://schemas.openxmlformats.org/officeDocument/2006/relationships/sharedStrings" Target="/xl/sharedStrings.xml" Id="R74ed3e54475541b2" /><Relationship Type="http://schemas.openxmlformats.org/officeDocument/2006/relationships/worksheet" Target="/xl/worksheets/sheet1.xml" Id="R655d3985f5764ed7" /><Relationship Type="http://schemas.openxmlformats.org/officeDocument/2006/relationships/worksheet" Target="/xl/worksheets/sheet2.xml" Id="Rf4b5898bcc384dba" /><Relationship Type="http://schemas.openxmlformats.org/officeDocument/2006/relationships/worksheet" Target="/xl/worksheets/sheet3.xml" Id="Rbf48b442a3594467" /><Relationship Type="http://schemas.openxmlformats.org/officeDocument/2006/relationships/worksheet" Target="/xl/worksheets/sheet4.xml" Id="R0befded7d9b84918" /><Relationship Type="http://schemas.openxmlformats.org/officeDocument/2006/relationships/worksheet" Target="/xl/worksheets/sheet5.xml" Id="R6bc04cc7220a4f1b" /><Relationship Type="http://schemas.openxmlformats.org/officeDocument/2006/relationships/worksheet" Target="/xl/worksheets/sheet6.xml" Id="R65c95760839540a3" /><Relationship Type="http://schemas.openxmlformats.org/officeDocument/2006/relationships/worksheet" Target="/xl/worksheets/sheet7.xml" Id="Ra8dcaf4d66d04d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a3131c05024693" /><Relationship Type="http://schemas.openxmlformats.org/officeDocument/2006/relationships/chart" Target="/xl/drawings/charts/chart2.xml" Id="R944a0da435b443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Escenarios por factibilidad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Escenarios</c:v>
          </c:tx>
          <c:invertIfNegative val="0"/>
          <c:cat>
            <c:strRef>
              <c:f>'Dashboard'!$D$6:$D$9</c:f>
              <c:strCache>
                <c:ptCount val="0"/>
              </c:strCache>
            </c:strRef>
          </c:cat>
          <c:val>
            <c:numRef>
              <c:f>'Dashboard'!$E$6:$E$9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Cotizaciones simuladas por servicio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Cotizaciones</c:v>
          </c:tx>
          <c:invertIfNegative val="0"/>
          <c:cat>
            <c:strRef>
              <c:f>'Dashboard'!$G$6:$G$9</c:f>
              <c:strCache>
                <c:ptCount val="0"/>
              </c:strCache>
            </c:strRef>
          </c:cat>
          <c:val>
            <c:numRef>
              <c:f>'Dashboard'!$H$6:$H$9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a3131c05024693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a0da435b443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Quotes200" displayName="SyntheticQuotes200" ref="A1:AF201" headerRowCount="1" totalsRowCount="0" totalsRowShown="0">
  <x:tableColumns count="32">
    <x:tableColumn id="1" name="quote_id"/>
    <x:tableColumn id="2" name="service_type"/>
    <x:tableColumn id="3" name="discount_percentage"/>
    <x:tableColumn id="4" name="requirement_complete"/>
    <x:tableColumn id="5" name="ai_interpretation_reviewed"/>
    <x:tableColumn id="6" name="quotation_time_minutes"/>
    <x:tableColumn id="7" name="days_to_requested_date"/>
    <x:tableColumn id="8" name="customer_response_days"/>
    <x:tableColumn id="9" name="status"/>
    <x:tableColumn id="10" name="converted_to_sale"/>
    <x:tableColumn id="11" name="synthetic_flag"/>
    <x:tableColumn id="12" name="source_synthetic_quote_amount"/>
    <x:tableColumn id="13" name="length_m"/>
    <x:tableColumn id="14" name="width_m"/>
    <x:tableColumn id="15" name="tent_type"/>
    <x:tableColumn id="16" name="material_name"/>
    <x:tableColumn id="17" name="material_weight_variant"/>
    <x:tableColumn id="18" name="material_unit"/>
    <x:tableColumn id="19" name="material_consumption_factor"/>
    <x:tableColumn id="20" name="required_material_quantity"/>
    <x:tableColumn id="21" name="stock_snapshot_quantity"/>
    <x:tableColumn id="22" name="material_shortage_quantity"/>
    <x:tableColumn id="23" name="material_status"/>
    <x:tableColumn id="24" name="synthetic_tariff_per_m2"/>
    <x:tableColumn id="25" name="simulated_tariff_before_discount"/>
    <x:tableColumn id="26" name="simulated_discount_amount"/>
    <x:tableColumn id="27" name="simulated_final_price"/>
    <x:tableColumn id="28" name="synthetic_material_unit_cost"/>
    <x:tableColumn id="29" name="simulated_direct_material_cost"/>
    <x:tableColumn id="30" name="simulated_gross_contribution_before_labor_overhead"/>
    <x:tableColumn id="31" name="synthetic_feasibility_result"/>
    <x:tableColumn id="32" name="simulation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Inventory" displayName="DemoInventory" ref="A1:G8" headerRowCount="1" totalsRowCount="0" totalsRowShown="0">
  <x:tableColumns count="7">
    <x:tableColumn id="1" name="service_type"/>
    <x:tableColumn id="2" name="material_name"/>
    <x:tableColumn id="3" name="material_variant"/>
    <x:tableColumn id="4" name="stock_quantity"/>
    <x:tableColumn id="5" name="unit"/>
    <x:tableColumn id="6" name="synthetic_unit_cost"/>
    <x:tableColumn id="7" name="simulation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Rates" displayName="DemoRates" ref="A1:G8" headerRowCount="1" totalsRowCount="0" totalsRowShown="0">
  <x:tableColumns count="7">
    <x:tableColumn id="1" name="service_type"/>
    <x:tableColumn id="2" name="material_name"/>
    <x:tableColumn id="3" name="material_variant"/>
    <x:tableColumn id="4" name="rate_per_m2"/>
    <x:tableColumn id="5" name="closed_tent_multiplier"/>
    <x:tableColumn id="6" name="discount_source"/>
    <x:tableColumn id="7" name="simulation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ingApprovedRates" displayName="PendingApprovedRates" ref="A5:N104" headerRowCount="1" totalsRowCount="0" totalsRowShown="0">
  <x:tableColumns count="14">
    <x:tableColumn id="1" name="Servicio"/>
    <x:tableColumn id="2" name="Tipo de carpa"/>
    <x:tableColumn id="3" name="Material"/>
    <x:tableColumn id="4" name="Largo_m"/>
    <x:tableColumn id="5" name="Ancho_m"/>
    <x:tableColumn id="6" name="Altura_m_opcional"/>
    <x:tableColumn id="7" name="Ventanas"/>
    <x:tableColumn id="8" name="Puertas"/>
    <x:tableColumn id="9" name="Precio_aprobado_S/"/>
    <x:tableColumn id="10" name="Stock_actual"/>
    <x:tableColumn id="11" name="Consumo_por_m2"/>
    <x:tableColumn id="12" name="Aprobado_por"/>
    <x:tableColumn id="13" name="Fecha_aprobacion"/>
    <x:tableColumn id="1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61cc1308bc4e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7e2c1ecbaa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66795006244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c0169931904f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46eb2b9b211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4" max="4" width="38" hidden="0" customWidth="1"/>
    <x:col min="5" max="5" width="15" hidden="0" customWidth="1"/>
    <x:col min="7" max="7" width="20" hidden="0" customWidth="1"/>
    <x:col min="8" max="8" width="15" hidden="0" customWidth="1"/>
  </x:cols>
  <x:sheetData>
    <x:row r="1" ht="34" customHeight="1">
      <x:c r="A1" s="3" t="str">
        <x:v>Cotizador Leguía · Demo de stock y cotizaciones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7" t="str">
        <x:v>DEMOSTRACIÓN SINTÉTICA — 200 filas reproducibles. Materiales, consumos, stock y tarifas son supuestos de prueba; no son historial, costos ni precios aprobados por Leguía. No usar para compras, cotizaciones reales ni contrastación de tesis.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9" t="str">
        <x:v>Indicador de prueba</x:v>
      </x:c>
      <x:c r="B5" s="19" t="str">
        <x:v>Resultado</x:v>
      </x:c>
      <x:c r="C5" s="20"/>
      <x:c r="D5" s="19" t="str">
        <x:v>Factibilidad (simulada)</x:v>
      </x:c>
      <x:c r="E5" s="19" t="str">
        <x:v>Escenarios</x:v>
      </x:c>
      <x:c r="F5" s="20"/>
      <x:c r="G5" s="19" t="str">
        <x:v>Servicio</x:v>
      </x:c>
      <x:c r="H5" s="19" t="str">
        <x:v>Cotizaciones</x:v>
      </x:c>
    </x:row>
    <x:row r="6">
      <x:c r="A6" s="21" t="str">
        <x:v>Registros sintéticos</x:v>
      </x:c>
      <x:c r="B6" s="22" t="n">
        <x:f>COUNTA(Datos200!$A$2:$A$201)</x:f>
        <x:v>200</x:v>
      </x:c>
      <x:c r="C6" s="20"/>
      <x:c r="D6" s="20" t="str">
        <x:v>Factible según reglas demo</x:v>
      </x:c>
      <x:c r="E6" s="20" t="n">
        <x:f>COUNTIF(Datos200!$AE$2:$AE$201,"FACTIBLE_CON_REGLAS_SINTETICAS")</x:f>
        <x:v>105</x:v>
      </x:c>
      <x:c r="F6" s="20"/>
      <x:c r="G6" s="20" t="str">
        <x:v>Carpas</x:v>
      </x:c>
      <x:c r="H6" s="20" t="n">
        <x:f>COUNTIF(Datos200!$B$2:$B$201,"Carpas")</x:f>
        <x:v>67</x:v>
      </x:c>
    </x:row>
    <x:row r="7">
      <x:c r="A7" s="21" t="str">
        <x:v>Tiempo promedio simulado (min)</x:v>
      </x:c>
      <x:c r="B7" s="23" t="n">
        <x:f>AVERAGE(Datos200!$F$2:$F$201)</x:f>
        <x:v>36.39</x:v>
      </x:c>
      <x:c r="C7" s="20"/>
      <x:c r="D7" s="20" t="str">
        <x:v>Falta stock (demo)</x:v>
      </x:c>
      <x:c r="E7" s="20" t="n">
        <x:f>COUNTIF(Datos200!$AE$2:$AE$201,"FALTA_STOCK")</x:f>
        <x:v>43</x:v>
      </x:c>
      <x:c r="F7" s="20"/>
      <x:c r="G7" s="20" t="str">
        <x:v>Toldos</x:v>
      </x:c>
      <x:c r="H7" s="20" t="n">
        <x:f>COUNTIF(Datos200!$B$2:$B$201,"Toldos")</x:f>
        <x:v>67</x:v>
      </x:c>
    </x:row>
    <x:row r="8">
      <x:c r="A8" s="21" t="str">
        <x:v>Precio medio simulado (S/)</x:v>
      </x:c>
      <x:c r="B8" s="24" t="n">
        <x:f>AVERAGE(Datos200!$AA$2:$AA$201)</x:f>
        <x:v>1515.3350500000004</x:v>
      </x:c>
      <x:c r="C8" s="20"/>
      <x:c r="D8" s="20" t="str">
        <x:v>Revisar datos</x:v>
      </x:c>
      <x:c r="E8" s="20" t="n">
        <x:f>COUNTIF(Datos200!$AE$2:$AE$201,"REVISAR_DATOS")</x:f>
        <x:v>52</x:v>
      </x:c>
      <x:c r="F8" s="20"/>
      <x:c r="G8" s="20" t="str">
        <x:v>Tapizado de moto</x:v>
      </x:c>
      <x:c r="H8" s="20" t="n">
        <x:f>COUNTIF(Datos200!$B$2:$B$201,"Tapizado de moto")</x:f>
        <x:v>66</x:v>
      </x:c>
    </x:row>
    <x:row r="9">
      <x:c r="A9" s="21" t="str">
        <x:v>Cotizaciones con falta de stock</x:v>
      </x:c>
      <x:c r="B9" s="22" t="n">
        <x:f>COUNTIF(Datos200!$AE$2:$AE$201,"FALTA_STOCK")</x:f>
        <x:v>43</x:v>
      </x:c>
      <x:c r="C9" s="20"/>
      <x:c r="D9" s="20" t="str">
        <x:v>Revisar margen directo</x:v>
      </x:c>
      <x:c r="E9" s="20" t="n">
        <x:f>COUNTIF(Datos200!$AE$2:$AE$201,"REVISAR_MARGEN_DIRECTO")</x:f>
        <x:v>0</x:v>
      </x:c>
      <x:c r="F9" s="20"/>
      <x:c r="G9" s="20" t="str"/>
      <x:c r="H9" s="20" t="n">
        <x:v>0</x:v>
      </x:c>
    </x:row>
    <x:row r="10">
      <x:c r="A10" s="21" t="str">
        <x:v>Datos pendientes de revisión</x:v>
      </x:c>
      <x:c r="B10" s="22" t="n">
        <x:f>COUNTIF(Datos200!$AE$2:$AE$201,"REVISAR_DATOS")</x:f>
        <x:v>52</x:v>
      </x:c>
      <x:c r="C10" s="20"/>
      <x:c r="D10" s="20"/>
      <x:c r="E10" s="20"/>
      <x:c r="F10" s="20"/>
      <x:c r="G10" s="20"/>
      <x:c r="H10" s="20"/>
    </x:row>
    <x:row r="29">
      <x:c r="A29" s="18" t="str">
        <x:v>La app usa reglas determinísticas para comparar consumo y stock; Gemini solo interpreta el requerimiento. El resultado del demo no equivale a una recomendación de compra ni a utilidad real.</x:v>
      </x:c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</x:sheetData>
  <x:mergeCells>
    <x:mergeCell ref="A1:J1"/>
    <x:mergeCell ref="A2:J3"/>
    <x:mergeCell ref="A29:J30"/>
  </x:mergeCells>
  <x:pageMargins left="0.7" right="0.7" top="0.75" bottom="0.75" header="0.3" footer="0.3"/>
  <x:drawing xmlns:r="http://schemas.openxmlformats.org/officeDocument/2006/relationships" r:id="Rd661cc1308bc4eb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 ht="52" customHeight="1">
      <x:c r="A1" s="27" t="str">
        <x:v>quote_id</x:v>
      </x:c>
      <x:c r="B1" s="27" t="str">
        <x:v>service_type</x:v>
      </x:c>
      <x:c r="C1" s="27" t="str">
        <x:v>discount_percentage</x:v>
      </x:c>
      <x:c r="D1" s="27" t="str">
        <x:v>requirement_complete</x:v>
      </x:c>
      <x:c r="E1" s="27" t="str">
        <x:v>ai_interpretation_reviewed</x:v>
      </x:c>
      <x:c r="F1" s="27" t="str">
        <x:v>quotation_time_minutes</x:v>
      </x:c>
      <x:c r="G1" s="27" t="str">
        <x:v>days_to_requested_date</x:v>
      </x:c>
      <x:c r="H1" s="27" t="str">
        <x:v>customer_response_days</x:v>
      </x:c>
      <x:c r="I1" s="27" t="str">
        <x:v>status</x:v>
      </x:c>
      <x:c r="J1" s="27" t="str">
        <x:v>converted_to_sale</x:v>
      </x:c>
      <x:c r="K1" s="27" t="str">
        <x:v>synthetic_flag</x:v>
      </x:c>
      <x:c r="L1" s="27" t="str">
        <x:v>source_synthetic_quote_amount</x:v>
      </x:c>
      <x:c r="M1" s="27" t="str">
        <x:v>length_m</x:v>
      </x:c>
      <x:c r="N1" s="27" t="str">
        <x:v>width_m</x:v>
      </x:c>
      <x:c r="O1" s="27" t="str">
        <x:v>tent_type</x:v>
      </x:c>
      <x:c r="P1" s="27" t="str">
        <x:v>material_name</x:v>
      </x:c>
      <x:c r="Q1" s="27" t="str">
        <x:v>material_weight_variant</x:v>
      </x:c>
      <x:c r="R1" s="27" t="str">
        <x:v>material_unit</x:v>
      </x:c>
      <x:c r="S1" s="27" t="str">
        <x:v>material_consumption_factor</x:v>
      </x:c>
      <x:c r="T1" s="27" t="str">
        <x:v>required_material_quantity</x:v>
      </x:c>
      <x:c r="U1" s="27" t="str">
        <x:v>stock_snapshot_quantity</x:v>
      </x:c>
      <x:c r="V1" s="27" t="str">
        <x:v>material_shortage_quantity</x:v>
      </x:c>
      <x:c r="W1" s="27" t="str">
        <x:v>material_status</x:v>
      </x:c>
      <x:c r="X1" s="27" t="str">
        <x:v>synthetic_tariff_per_m2</x:v>
      </x:c>
      <x:c r="Y1" s="27" t="str">
        <x:v>simulated_tariff_before_discount</x:v>
      </x:c>
      <x:c r="Z1" s="27" t="str">
        <x:v>simulated_discount_amount</x:v>
      </x:c>
      <x:c r="AA1" s="27" t="str">
        <x:v>simulated_final_price</x:v>
      </x:c>
      <x:c r="AB1" s="27" t="str">
        <x:v>synthetic_material_unit_cost</x:v>
      </x:c>
      <x:c r="AC1" s="27" t="str">
        <x:v>simulated_direct_material_cost</x:v>
      </x:c>
      <x:c r="AD1" s="27" t="str">
        <x:v>simulated_gross_contribution_before_labor_overhead</x:v>
      </x:c>
      <x:c r="AE1" s="27" t="str">
        <x:v>synthetic_feasibility_result</x:v>
      </x:c>
      <x:c r="AF1" s="27" t="str">
        <x:v>simulation_flag</x:v>
      </x:c>
    </x:row>
    <x:row r="2">
      <x:c r="A2" s="15" t="str">
        <x:v>SYN-001</x:v>
      </x:c>
      <x:c r="B2" s="15" t="str">
        <x:v>Carpas</x:v>
      </x:c>
      <x:c r="C2" s="15" t="n">
        <x:v>2.41</x:v>
      </x:c>
      <x:c r="D2" s="15" t="n">
        <x:v>1</x:v>
      </x:c>
      <x:c r="E2" s="15" t="n">
        <x:v>1</x:v>
      </x:c>
      <x:c r="F2" s="15" t="n">
        <x:v>8</x:v>
      </x:c>
      <x:c r="G2" s="15" t="n">
        <x:v>56</x:v>
      </x:c>
      <x:c r="H2" s="15" t="n">
        <x:v>5</x:v>
      </x:c>
      <x:c r="I2" s="15" t="str">
        <x:v>CONCRETADA</x:v>
      </x:c>
      <x:c r="J2" s="15" t="n">
        <x:v>1</x:v>
      </x:c>
      <x:c r="K2" s="15" t="str">
        <x:v>true</x:v>
      </x:c>
      <x:c r="L2" s="15" t="n">
        <x:v>8100.54</x:v>
      </x:c>
      <x:c r="M2" s="15" t="n">
        <x:v>2</x:v>
      </x:c>
      <x:c r="N2" s="15" t="n">
        <x:v>2</x:v>
      </x:c>
      <x:c r="O2" s="15" t="str">
        <x:v>ABIERTA</x:v>
      </x:c>
      <x:c r="P2" s="15" t="str">
        <x:v>Lino liviano DEMO</x:v>
      </x:c>
      <x:c r="Q2" s="15" t="str">
        <x:v>LIVIANO</x:v>
      </x:c>
      <x:c r="R2" s="15" t="str">
        <x:v>m² simulado</x:v>
      </x:c>
      <x:c r="S2" s="15" t="n">
        <x:v>1.12</x:v>
      </x:c>
      <x:c r="T2" s="15" t="n">
        <x:v>4.48</x:v>
      </x:c>
      <x:c r="U2" s="15" t="n">
        <x:v>28</x:v>
      </x:c>
      <x:c r="V2" s="15" t="n">
        <x:v>0</x:v>
      </x:c>
      <x:c r="W2" s="15" t="str">
        <x:v>SUFICIENTE_EN_ESCENARIO</x:v>
      </x:c>
      <x:c r="X2" s="15" t="n">
        <x:v>108</x:v>
      </x:c>
      <x:c r="Y2" s="15" t="n">
        <x:v>432</x:v>
      </x:c>
      <x:c r="Z2" s="15" t="n">
        <x:v>10.41</x:v>
      </x:c>
      <x:c r="AA2" s="28" t="n">
        <x:v>421.59</x:v>
      </x:c>
      <x:c r="AB2" s="15" t="n">
        <x:v>22</x:v>
      </x:c>
      <x:c r="AC2" s="28" t="n">
        <x:v>98.56</x:v>
      </x:c>
      <x:c r="AD2" s="28" t="n">
        <x:v>323.03</x:v>
      </x:c>
      <x:c r="AE2" s="15" t="str">
        <x:v>FACTIBLE_CON_REGLAS_SINTETICAS</x:v>
      </x:c>
      <x:c r="AF2" s="15" t="str">
        <x:v>true</x:v>
      </x:c>
    </x:row>
    <x:row r="3">
      <x:c r="A3" s="15" t="str">
        <x:v>SYN-002</x:v>
      </x:c>
      <x:c r="B3" s="15" t="str">
        <x:v>Toldos</x:v>
      </x:c>
      <x:c r="C3" s="15" t="n">
        <x:v>15.9</x:v>
      </x:c>
      <x:c r="D3" s="15" t="n">
        <x:v>1</x:v>
      </x:c>
      <x:c r="E3" s="15" t="n">
        <x:v>0</x:v>
      </x:c>
      <x:c r="F3" s="15" t="n">
        <x:v>28</x:v>
      </x:c>
      <x:c r="G3" s="15" t="n">
        <x:v>77</x:v>
      </x:c>
      <x:c r="H3" s="15" t="n">
        <x:v>2</x:v>
      </x:c>
      <x:c r="I3" s="15" t="str">
        <x:v>CONCRETADA</x:v>
      </x:c>
      <x:c r="J3" s="15" t="n">
        <x:v>1</x:v>
      </x:c>
      <x:c r="K3" s="15" t="str">
        <x:v>true</x:v>
      </x:c>
      <x:c r="L3" s="15" t="n">
        <x:v>3055.33</x:v>
      </x:c>
      <x:c r="M3" s="15" t="n">
        <x:v>2</x:v>
      </x:c>
      <x:c r="N3" s="15" t="n">
        <x:v>2</x:v>
      </x:c>
      <x:c r="O3" s="15" t="str">
        <x:v>NO_APLICA</x:v>
      </x:c>
      <x:c r="P3" s="15" t="str">
        <x:v>Tarflex DEMO</x:v>
      </x:c>
      <x:c r="Q3" s="15" t="str">
        <x:v>ESTANDAR</x:v>
      </x:c>
      <x:c r="R3" s="15" t="str">
        <x:v>m² simulado</x:v>
      </x:c>
      <x:c r="S3" s="15" t="n">
        <x:v>1.1</x:v>
      </x:c>
      <x:c r="T3" s="15" t="n">
        <x:v>4.4</x:v>
      </x:c>
      <x:c r="U3" s="15" t="n">
        <x:v>24</x:v>
      </x:c>
      <x:c r="V3" s="15" t="n">
        <x:v>0</x:v>
      </x:c>
      <x:c r="W3" s="15" t="str">
        <x:v>SUFICIENTE_EN_ESCENARIO</x:v>
      </x:c>
      <x:c r="X3" s="15" t="n">
        <x:v>112</x:v>
      </x:c>
      <x:c r="Y3" s="15" t="n">
        <x:v>448</x:v>
      </x:c>
      <x:c r="Z3" s="15" t="n">
        <x:v>71.23</x:v>
      </x:c>
      <x:c r="AA3" s="28" t="n">
        <x:v>376.77</x:v>
      </x:c>
      <x:c r="AB3" s="15" t="n">
        <x:v>23</x:v>
      </x:c>
      <x:c r="AC3" s="28" t="n">
        <x:v>101.2</x:v>
      </x:c>
      <x:c r="AD3" s="28" t="n">
        <x:v>275.57</x:v>
      </x:c>
      <x:c r="AE3" s="15" t="str">
        <x:v>FACTIBLE_CON_REGLAS_SINTETICAS</x:v>
      </x:c>
      <x:c r="AF3" s="15" t="str">
        <x:v>true</x:v>
      </x:c>
    </x:row>
    <x:row r="4">
      <x:c r="A4" s="15" t="str">
        <x:v>SYN-003</x:v>
      </x:c>
      <x:c r="B4" s="15" t="str">
        <x:v>Tapizado de moto</x:v>
      </x:c>
      <x:c r="C4" s="15" t="n">
        <x:v>10.88</x:v>
      </x:c>
      <x:c r="D4" s="15" t="n">
        <x:v>1</x:v>
      </x:c>
      <x:c r="E4" s="15" t="n">
        <x:v>1</x:v>
      </x:c>
      <x:c r="F4" s="15" t="n">
        <x:v>34</x:v>
      </x:c>
      <x:c r="G4" s="15" t="n">
        <x:v>4</x:v>
      </x:c>
      <x:c r="H4" s="15" t="n">
        <x:v>11</x:v>
      </x:c>
      <x:c r="I4" s="15" t="str">
        <x:v>CONCRETADA</x:v>
      </x:c>
      <x:c r="J4" s="15" t="n">
        <x:v>1</x:v>
      </x:c>
      <x:c r="K4" s="15" t="str">
        <x:v>true</x:v>
      </x:c>
      <x:c r="L4" s="15" t="n">
        <x:v>636.14</x:v>
      </x:c>
      <x:c r="M4" s="15" t="n">
        <x:v>3</x:v>
      </x:c>
      <x:c r="N4" s="15" t="n">
        <x:v>2</x:v>
      </x:c>
      <x:c r="O4" s="15" t="str">
        <x:v>NO_APLICA</x:v>
      </x:c>
      <x:c r="P4" s="15" t="str">
        <x:v>Oxford DEMO</x:v>
      </x:c>
      <x:c r="Q4" s="15" t="str">
        <x:v>NO_APLICA</x:v>
      </x:c>
      <x:c r="R4" s="15" t="str">
        <x:v>m² equivalente DEMO</x:v>
      </x:c>
      <x:c r="S4" s="15" t="n">
        <x:v>0.55</x:v>
      </x:c>
      <x:c r="T4" s="15" t="n">
        <x:v>3.3</x:v>
      </x:c>
      <x:c r="U4" s="15" t="n">
        <x:v>9</x:v>
      </x:c>
      <x:c r="V4" s="15" t="n">
        <x:v>0</x:v>
      </x:c>
      <x:c r="W4" s="15" t="str">
        <x:v>SUFICIENTE_EN_ESCENARIO</x:v>
      </x:c>
      <x:c r="X4" s="15" t="n">
        <x:v>155</x:v>
      </x:c>
      <x:c r="Y4" s="15" t="n">
        <x:v>930</x:v>
      </x:c>
      <x:c r="Z4" s="15" t="n">
        <x:v>101.18</x:v>
      </x:c>
      <x:c r="AA4" s="28" t="n">
        <x:v>828.82</x:v>
      </x:c>
      <x:c r="AB4" s="15" t="n">
        <x:v>38</x:v>
      </x:c>
      <x:c r="AC4" s="28" t="n">
        <x:v>125.4</x:v>
      </x:c>
      <x:c r="AD4" s="28" t="n">
        <x:v>703.42</x:v>
      </x:c>
      <x:c r="AE4" s="15" t="str">
        <x:v>FACTIBLE_CON_REGLAS_SINTETICAS</x:v>
      </x:c>
      <x:c r="AF4" s="15" t="str">
        <x:v>true</x:v>
      </x:c>
    </x:row>
    <x:row r="5">
      <x:c r="A5" s="15" t="str">
        <x:v>SYN-004</x:v>
      </x:c>
      <x:c r="B5" s="15" t="str">
        <x:v>Carpas</x:v>
      </x:c>
      <x:c r="C5" s="15" t="n">
        <x:v>0.71</x:v>
      </x:c>
      <x:c r="D5" s="15" t="n">
        <x:v>1</x:v>
      </x:c>
      <x:c r="E5" s="15" t="n">
        <x:v>0</x:v>
      </x:c>
      <x:c r="F5" s="15" t="n">
        <x:v>68</x:v>
      </x:c>
      <x:c r="G5" s="15" t="n">
        <x:v>11</x:v>
      </x:c>
      <x:c r="H5" s="15" t="n">
        <x:v>7</x:v>
      </x:c>
      <x:c r="I5" s="15" t="str">
        <x:v>NO_CONCRETADA</x:v>
      </x:c>
      <x:c r="J5" s="15" t="n">
        <x:v>0</x:v>
      </x:c>
      <x:c r="K5" s="15" t="str">
        <x:v>true</x:v>
      </x:c>
      <x:c r="L5" s="15" t="n">
        <x:v>4267.78</x:v>
      </x:c>
      <x:c r="M5" s="15" t="n">
        <x:v>2</x:v>
      </x:c>
      <x:c r="N5" s="15" t="n">
        <x:v>2</x:v>
      </x:c>
      <x:c r="O5" s="15" t="str">
        <x:v>ABIERTA</x:v>
      </x:c>
      <x:c r="P5" s="15" t="str">
        <x:v>Lino liviano DEMO</x:v>
      </x:c>
      <x:c r="Q5" s="15" t="str">
        <x:v>LIVIANO</x:v>
      </x:c>
      <x:c r="R5" s="15" t="str">
        <x:v>m² simulado</x:v>
      </x:c>
      <x:c r="S5" s="15" t="n">
        <x:v>1.12</x:v>
      </x:c>
      <x:c r="T5" s="15" t="n">
        <x:v>4.48</x:v>
      </x:c>
      <x:c r="U5" s="15" t="n">
        <x:v>28</x:v>
      </x:c>
      <x:c r="V5" s="15" t="n">
        <x:v>0</x:v>
      </x:c>
      <x:c r="W5" s="15" t="str">
        <x:v>SUFICIENTE_EN_ESCENARIO</x:v>
      </x:c>
      <x:c r="X5" s="15" t="n">
        <x:v>108</x:v>
      </x:c>
      <x:c r="Y5" s="15" t="n">
        <x:v>432</x:v>
      </x:c>
      <x:c r="Z5" s="15" t="n">
        <x:v>3.07</x:v>
      </x:c>
      <x:c r="AA5" s="28" t="n">
        <x:v>428.93</x:v>
      </x:c>
      <x:c r="AB5" s="15" t="n">
        <x:v>22</x:v>
      </x:c>
      <x:c r="AC5" s="28" t="n">
        <x:v>98.56</x:v>
      </x:c>
      <x:c r="AD5" s="28" t="n">
        <x:v>330.37</x:v>
      </x:c>
      <x:c r="AE5" s="15" t="str">
        <x:v>FACTIBLE_CON_REGLAS_SINTETICAS</x:v>
      </x:c>
      <x:c r="AF5" s="15" t="str">
        <x:v>true</x:v>
      </x:c>
    </x:row>
    <x:row r="6">
      <x:c r="A6" s="15" t="str">
        <x:v>SYN-005</x:v>
      </x:c>
      <x:c r="B6" s="15" t="str">
        <x:v>Toldos</x:v>
      </x:c>
      <x:c r="C6" s="15" t="n">
        <x:v>11.33</x:v>
      </x:c>
      <x:c r="D6" s="15" t="n">
        <x:v>1</x:v>
      </x:c>
      <x:c r="E6" s="15" t="n">
        <x:v>1</x:v>
      </x:c>
      <x:c r="F6" s="15" t="n">
        <x:v>10</x:v>
      </x:c>
      <x:c r="G6" s="15" t="n">
        <x:v>51</x:v>
      </x:c>
      <x:c r="H6" s="15" t="n">
        <x:v>13</x:v>
      </x:c>
      <x:c r="I6" s="15" t="str">
        <x:v>NO_CONCRETADA</x:v>
      </x:c>
      <x:c r="J6" s="15" t="n">
        <x:v>0</x:v>
      </x:c>
      <x:c r="K6" s="15" t="str">
        <x:v>true</x:v>
      </x:c>
      <x:c r="L6" s="15" t="n">
        <x:v>2564.01</x:v>
      </x:c>
      <x:c r="M6" s="15" t="n">
        <x:v>5</x:v>
      </x:c>
      <x:c r="N6" s="15" t="n">
        <x:v>4</x:v>
      </x:c>
      <x:c r="O6" s="15" t="str">
        <x:v>NO_APLICA</x:v>
      </x:c>
      <x:c r="P6" s="15" t="str">
        <x:v>Tarflex DEMO</x:v>
      </x:c>
      <x:c r="Q6" s="15" t="str">
        <x:v>ESTANDAR</x:v>
      </x:c>
      <x:c r="R6" s="15" t="str">
        <x:v>m² simulado</x:v>
      </x:c>
      <x:c r="S6" s="15" t="n">
        <x:v>1.1</x:v>
      </x:c>
      <x:c r="T6" s="15" t="n">
        <x:v>22</x:v>
      </x:c>
      <x:c r="U6" s="15" t="n">
        <x:v>24</x:v>
      </x:c>
      <x:c r="V6" s="15" t="n">
        <x:v>0</x:v>
      </x:c>
      <x:c r="W6" s="15" t="str">
        <x:v>SUFICIENTE_EN_ESCENARIO</x:v>
      </x:c>
      <x:c r="X6" s="15" t="n">
        <x:v>112</x:v>
      </x:c>
      <x:c r="Y6" s="15" t="n">
        <x:v>2240</x:v>
      </x:c>
      <x:c r="Z6" s="15" t="n">
        <x:v>253.79</x:v>
      </x:c>
      <x:c r="AA6" s="28" t="n">
        <x:v>1986.21</x:v>
      </x:c>
      <x:c r="AB6" s="15" t="n">
        <x:v>23</x:v>
      </x:c>
      <x:c r="AC6" s="28" t="n">
        <x:v>506</x:v>
      </x:c>
      <x:c r="AD6" s="28" t="n">
        <x:v>1480.21</x:v>
      </x:c>
      <x:c r="AE6" s="15" t="str">
        <x:v>FACTIBLE_CON_REGLAS_SINTETICAS</x:v>
      </x:c>
      <x:c r="AF6" s="15" t="str">
        <x:v>true</x:v>
      </x:c>
    </x:row>
    <x:row r="7">
      <x:c r="A7" s="15" t="str">
        <x:v>SYN-006</x:v>
      </x:c>
      <x:c r="B7" s="15" t="str">
        <x:v>Tapizado de moto</x:v>
      </x:c>
      <x:c r="C7" s="15" t="n">
        <x:v>0.25</x:v>
      </x:c>
      <x:c r="D7" s="15" t="n">
        <x:v>1</x:v>
      </x:c>
      <x:c r="E7" s="15" t="n">
        <x:v>1</x:v>
      </x:c>
      <x:c r="F7" s="15" t="n">
        <x:v>27</x:v>
      </x:c>
      <x:c r="G7" s="15" t="n">
        <x:v>79</x:v>
      </x:c>
      <x:c r="H7" s="15" t="n">
        <x:v>4</x:v>
      </x:c>
      <x:c r="I7" s="15" t="str">
        <x:v>CONCRETADA</x:v>
      </x:c>
      <x:c r="J7" s="15" t="n">
        <x:v>1</x:v>
      </x:c>
      <x:c r="K7" s="15" t="str">
        <x:v>true</x:v>
      </x:c>
      <x:c r="L7" s="15" t="n">
        <x:v>1513.45</x:v>
      </x:c>
      <x:c r="M7" s="15" t="n">
        <x:v>2</x:v>
      </x:c>
      <x:c r="N7" s="15" t="n">
        <x:v>2</x:v>
      </x:c>
      <x:c r="O7" s="15" t="str">
        <x:v>NO_APLICA</x:v>
      </x:c>
      <x:c r="P7" s="15" t="str">
        <x:v>Oxford DEMO</x:v>
      </x:c>
      <x:c r="Q7" s="15" t="str">
        <x:v>NO_APLICA</x:v>
      </x:c>
      <x:c r="R7" s="15" t="str">
        <x:v>m² equivalente DEMO</x:v>
      </x:c>
      <x:c r="S7" s="15" t="n">
        <x:v>0.55</x:v>
      </x:c>
      <x:c r="T7" s="15" t="n">
        <x:v>2.2</x:v>
      </x:c>
      <x:c r="U7" s="15" t="n">
        <x:v>9</x:v>
      </x:c>
      <x:c r="V7" s="15" t="n">
        <x:v>0</x:v>
      </x:c>
      <x:c r="W7" s="15" t="str">
        <x:v>SUFICIENTE_EN_ESCENARIO</x:v>
      </x:c>
      <x:c r="X7" s="15" t="n">
        <x:v>155</x:v>
      </x:c>
      <x:c r="Y7" s="15" t="n">
        <x:v>620</x:v>
      </x:c>
      <x:c r="Z7" s="15" t="n">
        <x:v>1.55</x:v>
      </x:c>
      <x:c r="AA7" s="28" t="n">
        <x:v>618.45</x:v>
      </x:c>
      <x:c r="AB7" s="15" t="n">
        <x:v>38</x:v>
      </x:c>
      <x:c r="AC7" s="28" t="n">
        <x:v>83.6</x:v>
      </x:c>
      <x:c r="AD7" s="28" t="n">
        <x:v>534.85</x:v>
      </x:c>
      <x:c r="AE7" s="15" t="str">
        <x:v>FACTIBLE_CON_REGLAS_SINTETICAS</x:v>
      </x:c>
      <x:c r="AF7" s="15" t="str">
        <x:v>true</x:v>
      </x:c>
    </x:row>
    <x:row r="8">
      <x:c r="A8" s="15" t="str">
        <x:v>SYN-007</x:v>
      </x:c>
      <x:c r="B8" s="15" t="str">
        <x:v>Carpas</x:v>
      </x:c>
      <x:c r="C8" s="15" t="n">
        <x:v>17.91</x:v>
      </x:c>
      <x:c r="D8" s="15" t="n">
        <x:v>1</x:v>
      </x:c>
      <x:c r="E8" s="15" t="n">
        <x:v>0</x:v>
      </x:c>
      <x:c r="F8" s="15" t="n">
        <x:v>61</x:v>
      </x:c>
      <x:c r="G8" s="15" t="n">
        <x:v>53</x:v>
      </x:c>
      <x:c r="H8" s="15" t="n">
        <x:v>13</x:v>
      </x:c>
      <x:c r="I8" s="15" t="str">
        <x:v>NO_CONCRETADA</x:v>
      </x:c>
      <x:c r="J8" s="15" t="n">
        <x:v>0</x:v>
      </x:c>
      <x:c r="K8" s="15" t="str">
        <x:v>true</x:v>
      </x:c>
      <x:c r="L8" s="15" t="n">
        <x:v>6521.56</x:v>
      </x:c>
      <x:c r="M8" s="15" t="n">
        <x:v>5</x:v>
      </x:c>
      <x:c r="N8" s="15" t="n">
        <x:v>4</x:v>
      </x:c>
      <x:c r="O8" s="15" t="str">
        <x:v>CERRADA</x:v>
      </x:c>
      <x:c r="P8" s="15" t="str">
        <x:v>Lino pesado DEMO</x:v>
      </x:c>
      <x:c r="Q8" s="15" t="str">
        <x:v>PESADO</x:v>
      </x:c>
      <x:c r="R8" s="15" t="str">
        <x:v>m² simulado</x:v>
      </x:c>
      <x:c r="S8" s="15" t="n">
        <x:v>1.55</x:v>
      </x:c>
      <x:c r="T8" s="15" t="n">
        <x:v>31</x:v>
      </x:c>
      <x:c r="U8" s="15" t="n">
        <x:v>20</x:v>
      </x:c>
      <x:c r="V8" s="15" t="n">
        <x:v>11</x:v>
      </x:c>
      <x:c r="W8" s="15" t="str">
        <x:v>FALTANTE_EN_ESCENARIO</x:v>
      </x:c>
      <x:c r="X8" s="15" t="n">
        <x:v>125</x:v>
      </x:c>
      <x:c r="Y8" s="15" t="n">
        <x:v>3375</x:v>
      </x:c>
      <x:c r="Z8" s="15" t="n">
        <x:v>604.46</x:v>
      </x:c>
      <x:c r="AA8" s="28" t="n">
        <x:v>2770.54</x:v>
      </x:c>
      <x:c r="AB8" s="15" t="n">
        <x:v>29</x:v>
      </x:c>
      <x:c r="AC8" s="28" t="n">
        <x:v>899</x:v>
      </x:c>
      <x:c r="AD8" s="28" t="n">
        <x:v>1871.54</x:v>
      </x:c>
      <x:c r="AE8" s="15" t="str">
        <x:v>FALTA_STOCK</x:v>
      </x:c>
      <x:c r="AF8" s="15" t="str">
        <x:v>true</x:v>
      </x:c>
    </x:row>
    <x:row r="9">
      <x:c r="A9" s="15" t="str">
        <x:v>SYN-008</x:v>
      </x:c>
      <x:c r="B9" s="15" t="str">
        <x:v>Toldos</x:v>
      </x:c>
      <x:c r="C9" s="15" t="n">
        <x:v>11.66</x:v>
      </x:c>
      <x:c r="D9" s="15" t="n">
        <x:v>1</x:v>
      </x:c>
      <x:c r="E9" s="15" t="n">
        <x:v>1</x:v>
      </x:c>
      <x:c r="F9" s="15" t="n">
        <x:v>70</x:v>
      </x:c>
      <x:c r="G9" s="15" t="n">
        <x:v>44</x:v>
      </x:c>
      <x:c r="H9" s="15" t="n">
        <x:v>6</x:v>
      </x:c>
      <x:c r="I9" s="15" t="str">
        <x:v>CONCRETADA</x:v>
      </x:c>
      <x:c r="J9" s="15" t="n">
        <x:v>1</x:v>
      </x:c>
      <x:c r="K9" s="15" t="str">
        <x:v>true</x:v>
      </x:c>
      <x:c r="L9" s="15" t="n">
        <x:v>4855.04</x:v>
      </x:c>
      <x:c r="M9" s="15" t="n">
        <x:v>2</x:v>
      </x:c>
      <x:c r="N9" s="15" t="n">
        <x:v>2</x:v>
      </x:c>
      <x:c r="O9" s="15" t="str">
        <x:v>NO_APLICA</x:v>
      </x:c>
      <x:c r="P9" s="15" t="str">
        <x:v>Lona orillo azul DEMO</x:v>
      </x:c>
      <x:c r="Q9" s="15" t="str">
        <x:v>ESTANDAR</x:v>
      </x:c>
      <x:c r="R9" s="15" t="str">
        <x:v>m² simulado</x:v>
      </x:c>
      <x:c r="S9" s="15" t="n">
        <x:v>1.1</x:v>
      </x:c>
      <x:c r="T9" s="15" t="n">
        <x:v>4.4</x:v>
      </x:c>
      <x:c r="U9" s="15" t="n">
        <x:v>22</x:v>
      </x:c>
      <x:c r="V9" s="15" t="n">
        <x:v>0</x:v>
      </x:c>
      <x:c r="W9" s="15" t="str">
        <x:v>SUFICIENTE_EN_ESCENARIO</x:v>
      </x:c>
      <x:c r="X9" s="15" t="n">
        <x:v>120</x:v>
      </x:c>
      <x:c r="Y9" s="15" t="n">
        <x:v>480</x:v>
      </x:c>
      <x:c r="Z9" s="15" t="n">
        <x:v>55.97</x:v>
      </x:c>
      <x:c r="AA9" s="28" t="n">
        <x:v>424.03</x:v>
      </x:c>
      <x:c r="AB9" s="15" t="n">
        <x:v>25</x:v>
      </x:c>
      <x:c r="AC9" s="28" t="n">
        <x:v>110</x:v>
      </x:c>
      <x:c r="AD9" s="28" t="n">
        <x:v>314.03</x:v>
      </x:c>
      <x:c r="AE9" s="15" t="str">
        <x:v>FACTIBLE_CON_REGLAS_SINTETICAS</x:v>
      </x:c>
      <x:c r="AF9" s="15" t="str">
        <x:v>true</x:v>
      </x:c>
    </x:row>
    <x:row r="10">
      <x:c r="A10" s="15" t="str">
        <x:v>SYN-009</x:v>
      </x:c>
      <x:c r="B10" s="15" t="str">
        <x:v>Tapizado de moto</x:v>
      </x:c>
      <x:c r="C10" s="15" t="n">
        <x:v>17.21</x:v>
      </x:c>
      <x:c r="D10" s="15" t="n">
        <x:v>1</x:v>
      </x:c>
      <x:c r="E10" s="15" t="n">
        <x:v>1</x:v>
      </x:c>
      <x:c r="F10" s="15" t="n">
        <x:v>33</x:v>
      </x:c>
      <x:c r="G10" s="15" t="n">
        <x:v>55</x:v>
      </x:c>
      <x:c r="H10" s="15" t="n">
        <x:v>14</x:v>
      </x:c>
      <x:c r="I10" s="15" t="str">
        <x:v>CONCRETADA</x:v>
      </x:c>
      <x:c r="J10" s="15" t="n">
        <x:v>1</x:v>
      </x:c>
      <x:c r="K10" s="15" t="str">
        <x:v>true</x:v>
      </x:c>
      <x:c r="L10" s="15" t="n">
        <x:v>3116.9</x:v>
      </x:c>
      <x:c r="M10" s="15" t="n">
        <x:v>2</x:v>
      </x:c>
      <x:c r="N10" s="15" t="n">
        <x:v>2</x:v>
      </x:c>
      <x:c r="O10" s="15" t="str">
        <x:v>NO_APLICA</x:v>
      </x:c>
      <x:c r="P10" s="15" t="str">
        <x:v>Oxford DEMO</x:v>
      </x:c>
      <x:c r="Q10" s="15" t="str">
        <x:v>NO_APLICA</x:v>
      </x:c>
      <x:c r="R10" s="15" t="str">
        <x:v>m² equivalente DEMO</x:v>
      </x:c>
      <x:c r="S10" s="15" t="n">
        <x:v>0.55</x:v>
      </x:c>
      <x:c r="T10" s="15" t="n">
        <x:v>2.2</x:v>
      </x:c>
      <x:c r="U10" s="15" t="n">
        <x:v>9</x:v>
      </x:c>
      <x:c r="V10" s="15" t="n">
        <x:v>0</x:v>
      </x:c>
      <x:c r="W10" s="15" t="str">
        <x:v>SUFICIENTE_EN_ESCENARIO</x:v>
      </x:c>
      <x:c r="X10" s="15" t="n">
        <x:v>155</x:v>
      </x:c>
      <x:c r="Y10" s="15" t="n">
        <x:v>620</x:v>
      </x:c>
      <x:c r="Z10" s="15" t="n">
        <x:v>106.7</x:v>
      </x:c>
      <x:c r="AA10" s="28" t="n">
        <x:v>513.3</x:v>
      </x:c>
      <x:c r="AB10" s="15" t="n">
        <x:v>38</x:v>
      </x:c>
      <x:c r="AC10" s="28" t="n">
        <x:v>83.6</x:v>
      </x:c>
      <x:c r="AD10" s="28" t="n">
        <x:v>429.7</x:v>
      </x:c>
      <x:c r="AE10" s="15" t="str">
        <x:v>FACTIBLE_CON_REGLAS_SINTETICAS</x:v>
      </x:c>
      <x:c r="AF10" s="15" t="str">
        <x:v>true</x:v>
      </x:c>
    </x:row>
    <x:row r="11">
      <x:c r="A11" s="15" t="str">
        <x:v>SYN-010</x:v>
      </x:c>
      <x:c r="B11" s="15" t="str">
        <x:v>Carpas</x:v>
      </x:c>
      <x:c r="C11" s="15" t="n">
        <x:v>2.42</x:v>
      </x:c>
      <x:c r="D11" s="15" t="n">
        <x:v>0</x:v>
      </x:c>
      <x:c r="E11" s="15" t="n">
        <x:v>0</x:v>
      </x:c>
      <x:c r="F11" s="15" t="n">
        <x:v>58</x:v>
      </x:c>
      <x:c r="G11" s="15" t="n">
        <x:v>32</x:v>
      </x:c>
      <x:c r="H11" s="15" t="n">
        <x:v>19</x:v>
      </x:c>
      <x:c r="I11" s="15" t="str">
        <x:v>CONCRETADA</x:v>
      </x:c>
      <x:c r="J11" s="15" t="n">
        <x:v>1</x:v>
      </x:c>
      <x:c r="K11" s="15" t="str">
        <x:v>true</x:v>
      </x:c>
      <x:c r="L11" s="15" t="n">
        <x:v>2917.84</x:v>
      </x:c>
      <x:c r="M11" s="15" t="n">
        <x:v>3</x:v>
      </x:c>
      <x:c r="N11" s="15" t="n">
        <x:v>3</x:v>
      </x:c>
      <x:c r="O11" s="15" t="str">
        <x:v>CERRADA</x:v>
      </x:c>
      <x:c r="P11" s="15" t="str">
        <x:v>Lino liviano DEMO</x:v>
      </x:c>
      <x:c r="Q11" s="15" t="str">
        <x:v>LIVIANO</x:v>
      </x:c>
      <x:c r="R11" s="15" t="str">
        <x:v>m² simulado</x:v>
      </x:c>
      <x:c r="S11" s="15" t="n">
        <x:v>1.55</x:v>
      </x:c>
      <x:c r="T11" s="15" t="n">
        <x:v>13.95</x:v>
      </x:c>
      <x:c r="U11" s="15" t="n">
        <x:v>28</x:v>
      </x:c>
      <x:c r="V11" s="15" t="n">
        <x:v>0</x:v>
      </x:c>
      <x:c r="W11" s="15" t="str">
        <x:v>SUFICIENTE_EN_ESCENARIO</x:v>
      </x:c>
      <x:c r="X11" s="15" t="n">
        <x:v>108</x:v>
      </x:c>
      <x:c r="Y11" s="15" t="n">
        <x:v>1312.2</x:v>
      </x:c>
      <x:c r="Z11" s="15" t="n">
        <x:v>31.76</x:v>
      </x:c>
      <x:c r="AA11" s="28" t="n">
        <x:v>1280.44</x:v>
      </x:c>
      <x:c r="AB11" s="15" t="n">
        <x:v>22</x:v>
      </x:c>
      <x:c r="AC11" s="28" t="n">
        <x:v>306.9</x:v>
      </x:c>
      <x:c r="AD11" s="28" t="n">
        <x:v>973.54</x:v>
      </x:c>
      <x:c r="AE11" s="15" t="str">
        <x:v>REVISAR_DATOS</x:v>
      </x:c>
      <x:c r="AF11" s="15" t="str">
        <x:v>true</x:v>
      </x:c>
    </x:row>
    <x:row r="12">
      <x:c r="A12" s="15" t="str">
        <x:v>SYN-011</x:v>
      </x:c>
      <x:c r="B12" s="15" t="str">
        <x:v>Toldos</x:v>
      </x:c>
      <x:c r="C12" s="15" t="n">
        <x:v>16.65</x:v>
      </x:c>
      <x:c r="D12" s="15" t="n">
        <x:v>1</x:v>
      </x:c>
      <x:c r="E12" s="15" t="n">
        <x:v>1</x:v>
      </x:c>
      <x:c r="F12" s="15" t="n">
        <x:v>44</x:v>
      </x:c>
      <x:c r="G12" s="15" t="n">
        <x:v>64</x:v>
      </x:c>
      <x:c r="H12" s="15" t="n">
        <x:v>19</x:v>
      </x:c>
      <x:c r="I12" s="15" t="str">
        <x:v>CONCRETADA</x:v>
      </x:c>
      <x:c r="J12" s="15" t="n">
        <x:v>1</x:v>
      </x:c>
      <x:c r="K12" s="15" t="str">
        <x:v>true</x:v>
      </x:c>
      <x:c r="L12" s="15" t="n">
        <x:v>7313.27</x:v>
      </x:c>
      <x:c r="M12" s="15" t="n">
        <x:v>2</x:v>
      </x:c>
      <x:c r="N12" s="15" t="n">
        <x:v>2</x:v>
      </x:c>
      <x:c r="O12" s="15" t="str">
        <x:v>NO_APLICA</x:v>
      </x:c>
      <x:c r="P12" s="15" t="str">
        <x:v>Lona orillo rojo DEMO</x:v>
      </x:c>
      <x:c r="Q12" s="15" t="str">
        <x:v>ESTANDAR</x:v>
      </x:c>
      <x:c r="R12" s="15" t="str">
        <x:v>m² simulado</x:v>
      </x:c>
      <x:c r="S12" s="15" t="n">
        <x:v>1.1</x:v>
      </x:c>
      <x:c r="T12" s="15" t="n">
        <x:v>4.4</x:v>
      </x:c>
      <x:c r="U12" s="15" t="n">
        <x:v>18</x:v>
      </x:c>
      <x:c r="V12" s="15" t="n">
        <x:v>0</x:v>
      </x:c>
      <x:c r="W12" s="15" t="str">
        <x:v>SUFICIENTE_EN_ESCENARIO</x:v>
      </x:c>
      <x:c r="X12" s="15" t="n">
        <x:v>122</x:v>
      </x:c>
      <x:c r="Y12" s="15" t="n">
        <x:v>488</x:v>
      </x:c>
      <x:c r="Z12" s="15" t="n">
        <x:v>81.25</x:v>
      </x:c>
      <x:c r="AA12" s="28" t="n">
        <x:v>406.75</x:v>
      </x:c>
      <x:c r="AB12" s="15" t="n">
        <x:v>26</x:v>
      </x:c>
      <x:c r="AC12" s="28" t="n">
        <x:v>114.4</x:v>
      </x:c>
      <x:c r="AD12" s="28" t="n">
        <x:v>292.35</x:v>
      </x:c>
      <x:c r="AE12" s="15" t="str">
        <x:v>FACTIBLE_CON_REGLAS_SINTETICAS</x:v>
      </x:c>
      <x:c r="AF12" s="15" t="str">
        <x:v>true</x:v>
      </x:c>
    </x:row>
    <x:row r="13">
      <x:c r="A13" s="15" t="str">
        <x:v>SYN-012</x:v>
      </x:c>
      <x:c r="B13" s="15" t="str">
        <x:v>Tapizado de moto</x:v>
      </x:c>
      <x:c r="C13" s="15" t="n">
        <x:v>2.61</x:v>
      </x:c>
      <x:c r="D13" s="15" t="n">
        <x:v>1</x:v>
      </x:c>
      <x:c r="E13" s="15" t="n">
        <x:v>1</x:v>
      </x:c>
      <x:c r="F13" s="15" t="n">
        <x:v>74</x:v>
      </x:c>
      <x:c r="G13" s="15" t="n">
        <x:v>48</x:v>
      </x:c>
      <x:c r="H13" s="15" t="n">
        <x:v>7</x:v>
      </x:c>
      <x:c r="I13" s="15" t="str">
        <x:v>NO_CONCRETADA</x:v>
      </x:c>
      <x:c r="J13" s="15" t="n">
        <x:v>0</x:v>
      </x:c>
      <x:c r="K13" s="15" t="str">
        <x:v>true</x:v>
      </x:c>
      <x:c r="L13" s="15" t="n">
        <x:v>1903.06</x:v>
      </x:c>
      <x:c r="M13" s="15" t="n">
        <x:v>6</x:v>
      </x:c>
      <x:c r="N13" s="15" t="n">
        <x:v>4</x:v>
      </x:c>
      <x:c r="O13" s="15" t="str">
        <x:v>NO_APLICA</x:v>
      </x:c>
      <x:c r="P13" s="15" t="str">
        <x:v>Oxford DEMO</x:v>
      </x:c>
      <x:c r="Q13" s="15" t="str">
        <x:v>NO_APLICA</x:v>
      </x:c>
      <x:c r="R13" s="15" t="str">
        <x:v>m² equivalente DEMO</x:v>
      </x:c>
      <x:c r="S13" s="15" t="n">
        <x:v>0.55</x:v>
      </x:c>
      <x:c r="T13" s="15" t="n">
        <x:v>13.2</x:v>
      </x:c>
      <x:c r="U13" s="15" t="n">
        <x:v>9</x:v>
      </x:c>
      <x:c r="V13" s="15" t="n">
        <x:v>4.2</x:v>
      </x:c>
      <x:c r="W13" s="15" t="str">
        <x:v>FALTANTE_EN_ESCENARIO</x:v>
      </x:c>
      <x:c r="X13" s="15" t="n">
        <x:v>155</x:v>
      </x:c>
      <x:c r="Y13" s="15" t="n">
        <x:v>3720</x:v>
      </x:c>
      <x:c r="Z13" s="15" t="n">
        <x:v>97.09</x:v>
      </x:c>
      <x:c r="AA13" s="28" t="n">
        <x:v>3622.91</x:v>
      </x:c>
      <x:c r="AB13" s="15" t="n">
        <x:v>38</x:v>
      </x:c>
      <x:c r="AC13" s="28" t="n">
        <x:v>501.6</x:v>
      </x:c>
      <x:c r="AD13" s="28" t="n">
        <x:v>3121.31</x:v>
      </x:c>
      <x:c r="AE13" s="15" t="str">
        <x:v>FALTA_STOCK</x:v>
      </x:c>
      <x:c r="AF13" s="15" t="str">
        <x:v>true</x:v>
      </x:c>
    </x:row>
    <x:row r="14">
      <x:c r="A14" s="15" t="str">
        <x:v>SYN-013</x:v>
      </x:c>
      <x:c r="B14" s="15" t="str">
        <x:v>Carpas</x:v>
      </x:c>
      <x:c r="C14" s="15" t="n">
        <x:v>10.89</x:v>
      </x:c>
      <x:c r="D14" s="15" t="n">
        <x:v>0</x:v>
      </x:c>
      <x:c r="E14" s="15" t="n">
        <x:v>0</x:v>
      </x:c>
      <x:c r="F14" s="15" t="n">
        <x:v>31</x:v>
      </x:c>
      <x:c r="G14" s="15" t="n">
        <x:v>47</x:v>
      </x:c>
      <x:c r="H14" s="15" t="n">
        <x:v>20</x:v>
      </x:c>
      <x:c r="I14" s="15" t="str">
        <x:v>CONCRETADA</x:v>
      </x:c>
      <x:c r="J14" s="15" t="n">
        <x:v>1</x:v>
      </x:c>
      <x:c r="K14" s="15" t="str">
        <x:v>true</x:v>
      </x:c>
      <x:c r="L14" s="15" t="n">
        <x:v>8201.71</x:v>
      </x:c>
      <x:c r="M14" s="15" t="n">
        <x:v>2</x:v>
      </x:c>
      <x:c r="N14" s="15" t="n">
        <x:v>2</x:v>
      </x:c>
      <x:c r="O14" s="15" t="str">
        <x:v>ABIERTA</x:v>
      </x:c>
      <x:c r="P14" s="15" t="str">
        <x:v>Lino pesado DEMO</x:v>
      </x:c>
      <x:c r="Q14" s="15" t="str">
        <x:v>PESADO</x:v>
      </x:c>
      <x:c r="R14" s="15" t="str">
        <x:v>m² simulado</x:v>
      </x:c>
      <x:c r="S14" s="15" t="n">
        <x:v>1.12</x:v>
      </x:c>
      <x:c r="T14" s="15" t="n">
        <x:v>4.48</x:v>
      </x:c>
      <x:c r="U14" s="15" t="n">
        <x:v>20</x:v>
      </x:c>
      <x:c r="V14" s="15" t="n">
        <x:v>0</x:v>
      </x:c>
      <x:c r="W14" s="15" t="str">
        <x:v>SUFICIENTE_EN_ESCENARIO</x:v>
      </x:c>
      <x:c r="X14" s="15" t="n">
        <x:v>125</x:v>
      </x:c>
      <x:c r="Y14" s="15" t="n">
        <x:v>500</x:v>
      </x:c>
      <x:c r="Z14" s="15" t="n">
        <x:v>54.45</x:v>
      </x:c>
      <x:c r="AA14" s="28" t="n">
        <x:v>445.55</x:v>
      </x:c>
      <x:c r="AB14" s="15" t="n">
        <x:v>29</x:v>
      </x:c>
      <x:c r="AC14" s="28" t="n">
        <x:v>129.92</x:v>
      </x:c>
      <x:c r="AD14" s="28" t="n">
        <x:v>315.63</x:v>
      </x:c>
      <x:c r="AE14" s="15" t="str">
        <x:v>REVISAR_DATOS</x:v>
      </x:c>
      <x:c r="AF14" s="15" t="str">
        <x:v>true</x:v>
      </x:c>
    </x:row>
    <x:row r="15">
      <x:c r="A15" s="15" t="str">
        <x:v>SYN-014</x:v>
      </x:c>
      <x:c r="B15" s="15" t="str">
        <x:v>Toldos</x:v>
      </x:c>
      <x:c r="C15" s="15" t="n">
        <x:v>12.65</x:v>
      </x:c>
      <x:c r="D15" s="15" t="n">
        <x:v>1</x:v>
      </x:c>
      <x:c r="E15" s="15" t="n">
        <x:v>1</x:v>
      </x:c>
      <x:c r="F15" s="15" t="n">
        <x:v>47</x:v>
      </x:c>
      <x:c r="G15" s="15" t="n">
        <x:v>60</x:v>
      </x:c>
      <x:c r="H15" s="15" t="n">
        <x:v>8</x:v>
      </x:c>
      <x:c r="I15" s="15" t="str">
        <x:v>NO_CONCRETADA</x:v>
      </x:c>
      <x:c r="J15" s="15" t="n">
        <x:v>0</x:v>
      </x:c>
      <x:c r="K15" s="15" t="str">
        <x:v>true</x:v>
      </x:c>
      <x:c r="L15" s="15" t="n">
        <x:v>3985.06</x:v>
      </x:c>
      <x:c r="M15" s="15" t="n">
        <x:v>4</x:v>
      </x:c>
      <x:c r="N15" s="15" t="n">
        <x:v>3</x:v>
      </x:c>
      <x:c r="O15" s="15" t="str">
        <x:v>NO_APLICA</x:v>
      </x:c>
      <x:c r="P15" s="15" t="str">
        <x:v>Lona orillo azul DEMO</x:v>
      </x:c>
      <x:c r="Q15" s="15" t="str">
        <x:v>ESTANDAR</x:v>
      </x:c>
      <x:c r="R15" s="15" t="str">
        <x:v>m² simulado</x:v>
      </x:c>
      <x:c r="S15" s="15" t="n">
        <x:v>1.1</x:v>
      </x:c>
      <x:c r="T15" s="15" t="n">
        <x:v>13.2</x:v>
      </x:c>
      <x:c r="U15" s="15" t="n">
        <x:v>22</x:v>
      </x:c>
      <x:c r="V15" s="15" t="n">
        <x:v>0</x:v>
      </x:c>
      <x:c r="W15" s="15" t="str">
        <x:v>SUFICIENTE_EN_ESCENARIO</x:v>
      </x:c>
      <x:c r="X15" s="15" t="n">
        <x:v>120</x:v>
      </x:c>
      <x:c r="Y15" s="15" t="n">
        <x:v>1440</x:v>
      </x:c>
      <x:c r="Z15" s="15" t="n">
        <x:v>182.16</x:v>
      </x:c>
      <x:c r="AA15" s="28" t="n">
        <x:v>1257.84</x:v>
      </x:c>
      <x:c r="AB15" s="15" t="n">
        <x:v>25</x:v>
      </x:c>
      <x:c r="AC15" s="28" t="n">
        <x:v>330</x:v>
      </x:c>
      <x:c r="AD15" s="28" t="n">
        <x:v>927.84</x:v>
      </x:c>
      <x:c r="AE15" s="15" t="str">
        <x:v>FACTIBLE_CON_REGLAS_SINTETICAS</x:v>
      </x:c>
      <x:c r="AF15" s="15" t="str">
        <x:v>true</x:v>
      </x:c>
    </x:row>
    <x:row r="16">
      <x:c r="A16" s="15" t="str">
        <x:v>SYN-015</x:v>
      </x:c>
      <x:c r="B16" s="15" t="str">
        <x:v>Tapizado de moto</x:v>
      </x:c>
      <x:c r="C16" s="15" t="n">
        <x:v>8.27</x:v>
      </x:c>
      <x:c r="D16" s="15" t="n">
        <x:v>1</x:v>
      </x:c>
      <x:c r="E16" s="15" t="n">
        <x:v>1</x:v>
      </x:c>
      <x:c r="F16" s="15" t="n">
        <x:v>67</x:v>
      </x:c>
      <x:c r="G16" s="15" t="n">
        <x:v>74</x:v>
      </x:c>
      <x:c r="H16" s="15" t="n">
        <x:v>14</x:v>
      </x:c>
      <x:c r="I16" s="15" t="str">
        <x:v>NO_CONCRETADA</x:v>
      </x:c>
      <x:c r="J16" s="15" t="n">
        <x:v>0</x:v>
      </x:c>
      <x:c r="K16" s="15" t="str">
        <x:v>true</x:v>
      </x:c>
      <x:c r="L16" s="15" t="n">
        <x:v>7936.06</x:v>
      </x:c>
      <x:c r="M16" s="15" t="n">
        <x:v>2</x:v>
      </x:c>
      <x:c r="N16" s="15" t="n">
        <x:v>2</x:v>
      </x:c>
      <x:c r="O16" s="15" t="str">
        <x:v>NO_APLICA</x:v>
      </x:c>
      <x:c r="P16" s="15" t="str">
        <x:v>Oxford DEMO</x:v>
      </x:c>
      <x:c r="Q16" s="15" t="str">
        <x:v>NO_APLICA</x:v>
      </x:c>
      <x:c r="R16" s="15" t="str">
        <x:v>m² equivalente DEMO</x:v>
      </x:c>
      <x:c r="S16" s="15" t="n">
        <x:v>0.55</x:v>
      </x:c>
      <x:c r="T16" s="15" t="n">
        <x:v>2.2</x:v>
      </x:c>
      <x:c r="U16" s="15" t="n">
        <x:v>9</x:v>
      </x:c>
      <x:c r="V16" s="15" t="n">
        <x:v>0</x:v>
      </x:c>
      <x:c r="W16" s="15" t="str">
        <x:v>SUFICIENTE_EN_ESCENARIO</x:v>
      </x:c>
      <x:c r="X16" s="15" t="n">
        <x:v>155</x:v>
      </x:c>
      <x:c r="Y16" s="15" t="n">
        <x:v>620</x:v>
      </x:c>
      <x:c r="Z16" s="15" t="n">
        <x:v>51.27</x:v>
      </x:c>
      <x:c r="AA16" s="28" t="n">
        <x:v>568.73</x:v>
      </x:c>
      <x:c r="AB16" s="15" t="n">
        <x:v>38</x:v>
      </x:c>
      <x:c r="AC16" s="28" t="n">
        <x:v>83.6</x:v>
      </x:c>
      <x:c r="AD16" s="28" t="n">
        <x:v>485.13</x:v>
      </x:c>
      <x:c r="AE16" s="15" t="str">
        <x:v>FACTIBLE_CON_REGLAS_SINTETICAS</x:v>
      </x:c>
      <x:c r="AF16" s="15" t="str">
        <x:v>true</x:v>
      </x:c>
    </x:row>
    <x:row r="17">
      <x:c r="A17" s="15" t="str">
        <x:v>SYN-016</x:v>
      </x:c>
      <x:c r="B17" s="15" t="str">
        <x:v>Carpas</x:v>
      </x:c>
      <x:c r="C17" s="15" t="n">
        <x:v>0.89</x:v>
      </x:c>
      <x:c r="D17" s="15" t="n">
        <x:v>1</x:v>
      </x:c>
      <x:c r="E17" s="15" t="n">
        <x:v>1</x:v>
      </x:c>
      <x:c r="F17" s="15" t="n">
        <x:v>58</x:v>
      </x:c>
      <x:c r="G17" s="15" t="n">
        <x:v>16</x:v>
      </x:c>
      <x:c r="H17" s="15" t="n">
        <x:v>17</x:v>
      </x:c>
      <x:c r="I17" s="15" t="str">
        <x:v>CONCRETADA</x:v>
      </x:c>
      <x:c r="J17" s="15" t="n">
        <x:v>1</x:v>
      </x:c>
      <x:c r="K17" s="15" t="str">
        <x:v>true</x:v>
      </x:c>
      <x:c r="L17" s="15" t="n">
        <x:v>1950.22</x:v>
      </x:c>
      <x:c r="M17" s="15" t="n">
        <x:v>5</x:v>
      </x:c>
      <x:c r="N17" s="15" t="n">
        <x:v>4</x:v>
      </x:c>
      <x:c r="O17" s="15" t="str">
        <x:v>ABIERTA</x:v>
      </x:c>
      <x:c r="P17" s="15" t="str">
        <x:v>Lino liviano DEMO</x:v>
      </x:c>
      <x:c r="Q17" s="15" t="str">
        <x:v>LIVIANO</x:v>
      </x:c>
      <x:c r="R17" s="15" t="str">
        <x:v>m² simulado</x:v>
      </x:c>
      <x:c r="S17" s="15" t="n">
        <x:v>1.12</x:v>
      </x:c>
      <x:c r="T17" s="15" t="n">
        <x:v>22.4</x:v>
      </x:c>
      <x:c r="U17" s="15" t="n">
        <x:v>28</x:v>
      </x:c>
      <x:c r="V17" s="15" t="n">
        <x:v>0</x:v>
      </x:c>
      <x:c r="W17" s="15" t="str">
        <x:v>SUFICIENTE_EN_ESCENARIO</x:v>
      </x:c>
      <x:c r="X17" s="15" t="n">
        <x:v>108</x:v>
      </x:c>
      <x:c r="Y17" s="15" t="n">
        <x:v>2160</x:v>
      </x:c>
      <x:c r="Z17" s="15" t="n">
        <x:v>19.22</x:v>
      </x:c>
      <x:c r="AA17" s="28" t="n">
        <x:v>2140.78</x:v>
      </x:c>
      <x:c r="AB17" s="15" t="n">
        <x:v>22</x:v>
      </x:c>
      <x:c r="AC17" s="28" t="n">
        <x:v>492.8</x:v>
      </x:c>
      <x:c r="AD17" s="28" t="n">
        <x:v>1647.98</x:v>
      </x:c>
      <x:c r="AE17" s="15" t="str">
        <x:v>FACTIBLE_CON_REGLAS_SINTETICAS</x:v>
      </x:c>
      <x:c r="AF17" s="15" t="str">
        <x:v>true</x:v>
      </x:c>
    </x:row>
    <x:row r="18">
      <x:c r="A18" s="15" t="str">
        <x:v>SYN-017</x:v>
      </x:c>
      <x:c r="B18" s="15" t="str">
        <x:v>Toldos</x:v>
      </x:c>
      <x:c r="C18" s="15" t="n">
        <x:v>14.32</x:v>
      </x:c>
      <x:c r="D18" s="15" t="n">
        <x:v>1</x:v>
      </x:c>
      <x:c r="E18" s="15" t="n">
        <x:v>1</x:v>
      </x:c>
      <x:c r="F18" s="15" t="n">
        <x:v>14</x:v>
      </x:c>
      <x:c r="G18" s="15" t="n">
        <x:v>85</x:v>
      </x:c>
      <x:c r="H18" s="15" t="n">
        <x:v>5</x:v>
      </x:c>
      <x:c r="I18" s="15" t="str">
        <x:v>CONCRETADA</x:v>
      </x:c>
      <x:c r="J18" s="15" t="n">
        <x:v>1</x:v>
      </x:c>
      <x:c r="K18" s="15" t="str">
        <x:v>true</x:v>
      </x:c>
      <x:c r="L18" s="15" t="n">
        <x:v>4827.02</x:v>
      </x:c>
      <x:c r="M18" s="15" t="n">
        <x:v>3</x:v>
      </x:c>
      <x:c r="N18" s="15" t="n">
        <x:v>3</x:v>
      </x:c>
      <x:c r="O18" s="15" t="str">
        <x:v>NO_APLICA</x:v>
      </x:c>
      <x:c r="P18" s="15" t="str">
        <x:v>Tarflex DEMO</x:v>
      </x:c>
      <x:c r="Q18" s="15" t="str">
        <x:v>ESTANDAR</x:v>
      </x:c>
      <x:c r="R18" s="15" t="str">
        <x:v>m² simulado</x:v>
      </x:c>
      <x:c r="S18" s="15" t="n">
        <x:v>1.1</x:v>
      </x:c>
      <x:c r="T18" s="15" t="n">
        <x:v>9.9</x:v>
      </x:c>
      <x:c r="U18" s="15" t="n">
        <x:v>24</x:v>
      </x:c>
      <x:c r="V18" s="15" t="n">
        <x:v>0</x:v>
      </x:c>
      <x:c r="W18" s="15" t="str">
        <x:v>SUFICIENTE_EN_ESCENARIO</x:v>
      </x:c>
      <x:c r="X18" s="15" t="n">
        <x:v>112</x:v>
      </x:c>
      <x:c r="Y18" s="15" t="n">
        <x:v>1008</x:v>
      </x:c>
      <x:c r="Z18" s="15" t="n">
        <x:v>144.35</x:v>
      </x:c>
      <x:c r="AA18" s="28" t="n">
        <x:v>863.65</x:v>
      </x:c>
      <x:c r="AB18" s="15" t="n">
        <x:v>23</x:v>
      </x:c>
      <x:c r="AC18" s="28" t="n">
        <x:v>227.7</x:v>
      </x:c>
      <x:c r="AD18" s="28" t="n">
        <x:v>635.95</x:v>
      </x:c>
      <x:c r="AE18" s="15" t="str">
        <x:v>FACTIBLE_CON_REGLAS_SINTETICAS</x:v>
      </x:c>
      <x:c r="AF18" s="15" t="str">
        <x:v>true</x:v>
      </x:c>
    </x:row>
    <x:row r="19">
      <x:c r="A19" s="15" t="str">
        <x:v>SYN-018</x:v>
      </x:c>
      <x:c r="B19" s="15" t="str">
        <x:v>Tapizado de moto</x:v>
      </x:c>
      <x:c r="C19" s="15" t="n">
        <x:v>0.39</x:v>
      </x:c>
      <x:c r="D19" s="15" t="n">
        <x:v>0</x:v>
      </x:c>
      <x:c r="E19" s="15" t="n">
        <x:v>0</x:v>
      </x:c>
      <x:c r="F19" s="15" t="n">
        <x:v>26</x:v>
      </x:c>
      <x:c r="G19" s="15" t="n">
        <x:v>4</x:v>
      </x:c>
      <x:c r="H19" s="15" t="n">
        <x:v>6</x:v>
      </x:c>
      <x:c r="I19" s="15" t="str">
        <x:v>NO_CONCRETADA</x:v>
      </x:c>
      <x:c r="J19" s="15" t="n">
        <x:v>0</x:v>
      </x:c>
      <x:c r="K19" s="15" t="str">
        <x:v>true</x:v>
      </x:c>
      <x:c r="L19" s="15" t="n">
        <x:v>6059.48</x:v>
      </x:c>
      <x:c r="M19" s="15" t="n">
        <x:v>4</x:v>
      </x:c>
      <x:c r="N19" s="15" t="n">
        <x:v>3</x:v>
      </x:c>
      <x:c r="O19" s="15" t="str">
        <x:v>NO_APLICA</x:v>
      </x:c>
      <x:c r="P19" s="15" t="str">
        <x:v>Oxford DEMO</x:v>
      </x:c>
      <x:c r="Q19" s="15" t="str">
        <x:v>NO_APLICA</x:v>
      </x:c>
      <x:c r="R19" s="15" t="str">
        <x:v>m² equivalente DEMO</x:v>
      </x:c>
      <x:c r="S19" s="15" t="n">
        <x:v>0.55</x:v>
      </x:c>
      <x:c r="T19" s="15" t="n">
        <x:v>6.6</x:v>
      </x:c>
      <x:c r="U19" s="15" t="n">
        <x:v>9</x:v>
      </x:c>
      <x:c r="V19" s="15" t="n">
        <x:v>0</x:v>
      </x:c>
      <x:c r="W19" s="15" t="str">
        <x:v>SUFICIENTE_EN_ESCENARIO</x:v>
      </x:c>
      <x:c r="X19" s="15" t="n">
        <x:v>155</x:v>
      </x:c>
      <x:c r="Y19" s="15" t="n">
        <x:v>1860</x:v>
      </x:c>
      <x:c r="Z19" s="15" t="n">
        <x:v>7.25</x:v>
      </x:c>
      <x:c r="AA19" s="28" t="n">
        <x:v>1852.75</x:v>
      </x:c>
      <x:c r="AB19" s="15" t="n">
        <x:v>38</x:v>
      </x:c>
      <x:c r="AC19" s="28" t="n">
        <x:v>250.8</x:v>
      </x:c>
      <x:c r="AD19" s="28" t="n">
        <x:v>1601.95</x:v>
      </x:c>
      <x:c r="AE19" s="15" t="str">
        <x:v>REVISAR_DATOS</x:v>
      </x:c>
      <x:c r="AF19" s="15" t="str">
        <x:v>true</x:v>
      </x:c>
    </x:row>
    <x:row r="20">
      <x:c r="A20" s="15" t="str">
        <x:v>SYN-019</x:v>
      </x:c>
      <x:c r="B20" s="15" t="str">
        <x:v>Carpas</x:v>
      </x:c>
      <x:c r="C20" s="15" t="n">
        <x:v>6.4</x:v>
      </x:c>
      <x:c r="D20" s="15" t="n">
        <x:v>1</x:v>
      </x:c>
      <x:c r="E20" s="15" t="n">
        <x:v>1</x:v>
      </x:c>
      <x:c r="F20" s="15" t="n">
        <x:v>16</x:v>
      </x:c>
      <x:c r="G20" s="15" t="n">
        <x:v>5</x:v>
      </x:c>
      <x:c r="H20" s="15" t="n">
        <x:v>20</x:v>
      </x:c>
      <x:c r="I20" s="15" t="str">
        <x:v>NO_CONCRETADA</x:v>
      </x:c>
      <x:c r="J20" s="15" t="n">
        <x:v>0</x:v>
      </x:c>
      <x:c r="K20" s="15" t="str">
        <x:v>true</x:v>
      </x:c>
      <x:c r="L20" s="15" t="n">
        <x:v>8097.23</x:v>
      </x:c>
      <x:c r="M20" s="15" t="n">
        <x:v>5</x:v>
      </x:c>
      <x:c r="N20" s="15" t="n">
        <x:v>4</x:v>
      </x:c>
      <x:c r="O20" s="15" t="str">
        <x:v>ABIERTA</x:v>
      </x:c>
      <x:c r="P20" s="15" t="str">
        <x:v>Lino liviano DEMO</x:v>
      </x:c>
      <x:c r="Q20" s="15" t="str">
        <x:v>LIVIANO</x:v>
      </x:c>
      <x:c r="R20" s="15" t="str">
        <x:v>m² simulado</x:v>
      </x:c>
      <x:c r="S20" s="15" t="n">
        <x:v>1.12</x:v>
      </x:c>
      <x:c r="T20" s="15" t="n">
        <x:v>22.4</x:v>
      </x:c>
      <x:c r="U20" s="15" t="n">
        <x:v>28</x:v>
      </x:c>
      <x:c r="V20" s="15" t="n">
        <x:v>0</x:v>
      </x:c>
      <x:c r="W20" s="15" t="str">
        <x:v>SUFICIENTE_EN_ESCENARIO</x:v>
      </x:c>
      <x:c r="X20" s="15" t="n">
        <x:v>108</x:v>
      </x:c>
      <x:c r="Y20" s="15" t="n">
        <x:v>2160</x:v>
      </x:c>
      <x:c r="Z20" s="15" t="n">
        <x:v>138.24</x:v>
      </x:c>
      <x:c r="AA20" s="28" t="n">
        <x:v>2021.76</x:v>
      </x:c>
      <x:c r="AB20" s="15" t="n">
        <x:v>22</x:v>
      </x:c>
      <x:c r="AC20" s="28" t="n">
        <x:v>492.8</x:v>
      </x:c>
      <x:c r="AD20" s="28" t="n">
        <x:v>1528.96</x:v>
      </x:c>
      <x:c r="AE20" s="15" t="str">
        <x:v>FACTIBLE_CON_REGLAS_SINTETICAS</x:v>
      </x:c>
      <x:c r="AF20" s="15" t="str">
        <x:v>true</x:v>
      </x:c>
    </x:row>
    <x:row r="21">
      <x:c r="A21" s="15" t="str">
        <x:v>SYN-020</x:v>
      </x:c>
      <x:c r="B21" s="15" t="str">
        <x:v>Toldos</x:v>
      </x:c>
      <x:c r="C21" s="15" t="n">
        <x:v>19.76</x:v>
      </x:c>
      <x:c r="D21" s="15" t="n">
        <x:v>1</x:v>
      </x:c>
      <x:c r="E21" s="15" t="n">
        <x:v>1</x:v>
      </x:c>
      <x:c r="F21" s="15" t="n">
        <x:v>18</x:v>
      </x:c>
      <x:c r="G21" s="15" t="n">
        <x:v>44</x:v>
      </x:c>
      <x:c r="H21" s="15" t="n">
        <x:v>1</x:v>
      </x:c>
      <x:c r="I21" s="15" t="str">
        <x:v>CONCRETADA</x:v>
      </x:c>
      <x:c r="J21" s="15" t="n">
        <x:v>1</x:v>
      </x:c>
      <x:c r="K21" s="15" t="str">
        <x:v>true</x:v>
      </x:c>
      <x:c r="L21" s="15" t="n">
        <x:v>335.03</x:v>
      </x:c>
      <x:c r="M21" s="15" t="n">
        <x:v>4</x:v>
      </x:c>
      <x:c r="N21" s="15" t="n">
        <x:v>3</x:v>
      </x:c>
      <x:c r="O21" s="15" t="str">
        <x:v>NO_APLICA</x:v>
      </x:c>
      <x:c r="P21" s="15" t="str">
        <x:v>Lona orillo azul DEMO</x:v>
      </x:c>
      <x:c r="Q21" s="15" t="str">
        <x:v>ESTANDAR</x:v>
      </x:c>
      <x:c r="R21" s="15" t="str">
        <x:v>m² simulado</x:v>
      </x:c>
      <x:c r="S21" s="15" t="n">
        <x:v>1.1</x:v>
      </x:c>
      <x:c r="T21" s="15" t="n">
        <x:v>13.2</x:v>
      </x:c>
      <x:c r="U21" s="15" t="n">
        <x:v>22</x:v>
      </x:c>
      <x:c r="V21" s="15" t="n">
        <x:v>0</x:v>
      </x:c>
      <x:c r="W21" s="15" t="str">
        <x:v>SUFICIENTE_EN_ESCENARIO</x:v>
      </x:c>
      <x:c r="X21" s="15" t="n">
        <x:v>120</x:v>
      </x:c>
      <x:c r="Y21" s="15" t="n">
        <x:v>1440</x:v>
      </x:c>
      <x:c r="Z21" s="15" t="n">
        <x:v>284.54</x:v>
      </x:c>
      <x:c r="AA21" s="28" t="n">
        <x:v>1155.46</x:v>
      </x:c>
      <x:c r="AB21" s="15" t="n">
        <x:v>25</x:v>
      </x:c>
      <x:c r="AC21" s="28" t="n">
        <x:v>330</x:v>
      </x:c>
      <x:c r="AD21" s="28" t="n">
        <x:v>825.46</x:v>
      </x:c>
      <x:c r="AE21" s="15" t="str">
        <x:v>FACTIBLE_CON_REGLAS_SINTETICAS</x:v>
      </x:c>
      <x:c r="AF21" s="15" t="str">
        <x:v>true</x:v>
      </x:c>
    </x:row>
    <x:row r="22">
      <x:c r="A22" s="15" t="str">
        <x:v>SYN-021</x:v>
      </x:c>
      <x:c r="B22" s="15" t="str">
        <x:v>Tapizado de moto</x:v>
      </x:c>
      <x:c r="C22" s="15" t="n">
        <x:v>18.66</x:v>
      </x:c>
      <x:c r="D22" s="15" t="n">
        <x:v>0</x:v>
      </x:c>
      <x:c r="E22" s="15" t="n">
        <x:v>0</x:v>
      </x:c>
      <x:c r="F22" s="15" t="n">
        <x:v>38</x:v>
      </x:c>
      <x:c r="G22" s="15" t="n">
        <x:v>56</x:v>
      </x:c>
      <x:c r="H22" s="15" t="n">
        <x:v>13</x:v>
      </x:c>
      <x:c r="I22" s="15" t="str">
        <x:v>NO_CONCRETADA</x:v>
      </x:c>
      <x:c r="J22" s="15" t="n">
        <x:v>0</x:v>
      </x:c>
      <x:c r="K22" s="15" t="str">
        <x:v>true</x:v>
      </x:c>
      <x:c r="L22" s="15" t="n">
        <x:v>7840.11</x:v>
      </x:c>
      <x:c r="M22" s="15" t="n">
        <x:v>3</x:v>
      </x:c>
      <x:c r="N22" s="15" t="n">
        <x:v>3</x:v>
      </x:c>
      <x:c r="O22" s="15" t="str">
        <x:v>NO_APLICA</x:v>
      </x:c>
      <x:c r="P22" s="15" t="str">
        <x:v>Oxford DEMO</x:v>
      </x:c>
      <x:c r="Q22" s="15" t="str">
        <x:v>NO_APLICA</x:v>
      </x:c>
      <x:c r="R22" s="15" t="str">
        <x:v>m² equivalente DEMO</x:v>
      </x:c>
      <x:c r="S22" s="15" t="n">
        <x:v>0.55</x:v>
      </x:c>
      <x:c r="T22" s="15" t="n">
        <x:v>4.95</x:v>
      </x:c>
      <x:c r="U22" s="15" t="n">
        <x:v>9</x:v>
      </x:c>
      <x:c r="V22" s="15" t="n">
        <x:v>0</x:v>
      </x:c>
      <x:c r="W22" s="15" t="str">
        <x:v>SUFICIENTE_EN_ESCENARIO</x:v>
      </x:c>
      <x:c r="X22" s="15" t="n">
        <x:v>155</x:v>
      </x:c>
      <x:c r="Y22" s="15" t="n">
        <x:v>1395</x:v>
      </x:c>
      <x:c r="Z22" s="15" t="n">
        <x:v>260.31</x:v>
      </x:c>
      <x:c r="AA22" s="28" t="n">
        <x:v>1134.69</x:v>
      </x:c>
      <x:c r="AB22" s="15" t="n">
        <x:v>38</x:v>
      </x:c>
      <x:c r="AC22" s="28" t="n">
        <x:v>188.1</x:v>
      </x:c>
      <x:c r="AD22" s="28" t="n">
        <x:v>946.59</x:v>
      </x:c>
      <x:c r="AE22" s="15" t="str">
        <x:v>REVISAR_DATOS</x:v>
      </x:c>
      <x:c r="AF22" s="15" t="str">
        <x:v>true</x:v>
      </x:c>
    </x:row>
    <x:row r="23">
      <x:c r="A23" s="15" t="str">
        <x:v>SYN-022</x:v>
      </x:c>
      <x:c r="B23" s="15" t="str">
        <x:v>Carpas</x:v>
      </x:c>
      <x:c r="C23" s="15" t="n">
        <x:v>2.87</x:v>
      </x:c>
      <x:c r="D23" s="15" t="n">
        <x:v>0</x:v>
      </x:c>
      <x:c r="E23" s="15" t="n">
        <x:v>0</x:v>
      </x:c>
      <x:c r="F23" s="15" t="n">
        <x:v>45</x:v>
      </x:c>
      <x:c r="G23" s="15" t="n">
        <x:v>34</x:v>
      </x:c>
      <x:c r="H23" s="15" t="n">
        <x:v>20</x:v>
      </x:c>
      <x:c r="I23" s="15" t="str">
        <x:v>NO_CONCRETADA</x:v>
      </x:c>
      <x:c r="J23" s="15" t="n">
        <x:v>0</x:v>
      </x:c>
      <x:c r="K23" s="15" t="str">
        <x:v>true</x:v>
      </x:c>
      <x:c r="L23" s="15" t="n">
        <x:v>7561.2</x:v>
      </x:c>
      <x:c r="M23" s="15" t="n">
        <x:v>2</x:v>
      </x:c>
      <x:c r="N23" s="15" t="n">
        <x:v>2</x:v>
      </x:c>
      <x:c r="O23" s="15" t="str">
        <x:v>CERRADA</x:v>
      </x:c>
      <x:c r="P23" s="15" t="str">
        <x:v>Lino pesado DEMO</x:v>
      </x:c>
      <x:c r="Q23" s="15" t="str">
        <x:v>PESADO</x:v>
      </x:c>
      <x:c r="R23" s="15" t="str">
        <x:v>m² simulado</x:v>
      </x:c>
      <x:c r="S23" s="15" t="n">
        <x:v>1.55</x:v>
      </x:c>
      <x:c r="T23" s="15" t="n">
        <x:v>6.2</x:v>
      </x:c>
      <x:c r="U23" s="15" t="n">
        <x:v>20</x:v>
      </x:c>
      <x:c r="V23" s="15" t="n">
        <x:v>0</x:v>
      </x:c>
      <x:c r="W23" s="15" t="str">
        <x:v>SUFICIENTE_EN_ESCENARIO</x:v>
      </x:c>
      <x:c r="X23" s="15" t="n">
        <x:v>125</x:v>
      </x:c>
      <x:c r="Y23" s="15" t="n">
        <x:v>675</x:v>
      </x:c>
      <x:c r="Z23" s="15" t="n">
        <x:v>19.37</x:v>
      </x:c>
      <x:c r="AA23" s="28" t="n">
        <x:v>655.63</x:v>
      </x:c>
      <x:c r="AB23" s="15" t="n">
        <x:v>29</x:v>
      </x:c>
      <x:c r="AC23" s="28" t="n">
        <x:v>179.8</x:v>
      </x:c>
      <x:c r="AD23" s="28" t="n">
        <x:v>475.83</x:v>
      </x:c>
      <x:c r="AE23" s="15" t="str">
        <x:v>REVISAR_DATOS</x:v>
      </x:c>
      <x:c r="AF23" s="15" t="str">
        <x:v>true</x:v>
      </x:c>
    </x:row>
    <x:row r="24">
      <x:c r="A24" s="15" t="str">
        <x:v>SYN-023</x:v>
      </x:c>
      <x:c r="B24" s="15" t="str">
        <x:v>Toldos</x:v>
      </x:c>
      <x:c r="C24" s="15" t="n">
        <x:v>4.58</x:v>
      </x:c>
      <x:c r="D24" s="15" t="n">
        <x:v>1</x:v>
      </x:c>
      <x:c r="E24" s="15" t="n">
        <x:v>1</x:v>
      </x:c>
      <x:c r="F24" s="15" t="n">
        <x:v>5</x:v>
      </x:c>
      <x:c r="G24" s="15" t="n">
        <x:v>23</x:v>
      </x:c>
      <x:c r="H24" s="15" t="n">
        <x:v>2</x:v>
      </x:c>
      <x:c r="I24" s="15" t="str">
        <x:v>CONCRETADA</x:v>
      </x:c>
      <x:c r="J24" s="15" t="n">
        <x:v>1</x:v>
      </x:c>
      <x:c r="K24" s="15" t="str">
        <x:v>true</x:v>
      </x:c>
      <x:c r="L24" s="15" t="n">
        <x:v>2427.93</x:v>
      </x:c>
      <x:c r="M24" s="15" t="n">
        <x:v>3</x:v>
      </x:c>
      <x:c r="N24" s="15" t="n">
        <x:v>3</x:v>
      </x:c>
      <x:c r="O24" s="15" t="str">
        <x:v>NO_APLICA</x:v>
      </x:c>
      <x:c r="P24" s="15" t="str">
        <x:v>Lona orillo rojo DEMO</x:v>
      </x:c>
      <x:c r="Q24" s="15" t="str">
        <x:v>ESTANDAR</x:v>
      </x:c>
      <x:c r="R24" s="15" t="str">
        <x:v>m² simulado</x:v>
      </x:c>
      <x:c r="S24" s="15" t="n">
        <x:v>1.1</x:v>
      </x:c>
      <x:c r="T24" s="15" t="n">
        <x:v>9.9</x:v>
      </x:c>
      <x:c r="U24" s="15" t="n">
        <x:v>18</x:v>
      </x:c>
      <x:c r="V24" s="15" t="n">
        <x:v>0</x:v>
      </x:c>
      <x:c r="W24" s="15" t="str">
        <x:v>SUFICIENTE_EN_ESCENARIO</x:v>
      </x:c>
      <x:c r="X24" s="15" t="n">
        <x:v>122</x:v>
      </x:c>
      <x:c r="Y24" s="15" t="n">
        <x:v>1098</x:v>
      </x:c>
      <x:c r="Z24" s="15" t="n">
        <x:v>50.29</x:v>
      </x:c>
      <x:c r="AA24" s="28" t="n">
        <x:v>1047.71</x:v>
      </x:c>
      <x:c r="AB24" s="15" t="n">
        <x:v>26</x:v>
      </x:c>
      <x:c r="AC24" s="28" t="n">
        <x:v>257.4</x:v>
      </x:c>
      <x:c r="AD24" s="28" t="n">
        <x:v>790.31</x:v>
      </x:c>
      <x:c r="AE24" s="15" t="str">
        <x:v>FACTIBLE_CON_REGLAS_SINTETICAS</x:v>
      </x:c>
      <x:c r="AF24" s="15" t="str">
        <x:v>true</x:v>
      </x:c>
    </x:row>
    <x:row r="25">
      <x:c r="A25" s="15" t="str">
        <x:v>SYN-024</x:v>
      </x:c>
      <x:c r="B25" s="15" t="str">
        <x:v>Tapizado de moto</x:v>
      </x:c>
      <x:c r="C25" s="15" t="n">
        <x:v>7.52</x:v>
      </x:c>
      <x:c r="D25" s="15" t="n">
        <x:v>1</x:v>
      </x:c>
      <x:c r="E25" s="15" t="n">
        <x:v>1</x:v>
      </x:c>
      <x:c r="F25" s="15" t="n">
        <x:v>36</x:v>
      </x:c>
      <x:c r="G25" s="15" t="n">
        <x:v>19</x:v>
      </x:c>
      <x:c r="H25" s="15" t="n">
        <x:v>14</x:v>
      </x:c>
      <x:c r="I25" s="15" t="str">
        <x:v>NO_CONCRETADA</x:v>
      </x:c>
      <x:c r="J25" s="15" t="n">
        <x:v>0</x:v>
      </x:c>
      <x:c r="K25" s="15" t="str">
        <x:v>true</x:v>
      </x:c>
      <x:c r="L25" s="15" t="n">
        <x:v>3687.75</x:v>
      </x:c>
      <x:c r="M25" s="15" t="n">
        <x:v>3</x:v>
      </x:c>
      <x:c r="N25" s="15" t="n">
        <x:v>2</x:v>
      </x:c>
      <x:c r="O25" s="15" t="str">
        <x:v>NO_APLICA</x:v>
      </x:c>
      <x:c r="P25" s="15" t="str">
        <x:v>Oxford DEMO</x:v>
      </x:c>
      <x:c r="Q25" s="15" t="str">
        <x:v>NO_APLICA</x:v>
      </x:c>
      <x:c r="R25" s="15" t="str">
        <x:v>m² equivalente DEMO</x:v>
      </x:c>
      <x:c r="S25" s="15" t="n">
        <x:v>0.55</x:v>
      </x:c>
      <x:c r="T25" s="15" t="n">
        <x:v>3.3</x:v>
      </x:c>
      <x:c r="U25" s="15" t="n">
        <x:v>9</x:v>
      </x:c>
      <x:c r="V25" s="15" t="n">
        <x:v>0</x:v>
      </x:c>
      <x:c r="W25" s="15" t="str">
        <x:v>SUFICIENTE_EN_ESCENARIO</x:v>
      </x:c>
      <x:c r="X25" s="15" t="n">
        <x:v>155</x:v>
      </x:c>
      <x:c r="Y25" s="15" t="n">
        <x:v>930</x:v>
      </x:c>
      <x:c r="Z25" s="15" t="n">
        <x:v>69.94</x:v>
      </x:c>
      <x:c r="AA25" s="28" t="n">
        <x:v>860.06</x:v>
      </x:c>
      <x:c r="AB25" s="15" t="n">
        <x:v>38</x:v>
      </x:c>
      <x:c r="AC25" s="28" t="n">
        <x:v>125.4</x:v>
      </x:c>
      <x:c r="AD25" s="28" t="n">
        <x:v>734.66</x:v>
      </x:c>
      <x:c r="AE25" s="15" t="str">
        <x:v>FACTIBLE_CON_REGLAS_SINTETICAS</x:v>
      </x:c>
      <x:c r="AF25" s="15" t="str">
        <x:v>true</x:v>
      </x:c>
    </x:row>
    <x:row r="26">
      <x:c r="A26" s="15" t="str">
        <x:v>SYN-025</x:v>
      </x:c>
      <x:c r="B26" s="15" t="str">
        <x:v>Carpas</x:v>
      </x:c>
      <x:c r="C26" s="15" t="n">
        <x:v>19.03</x:v>
      </x:c>
      <x:c r="D26" s="15" t="n">
        <x:v>0</x:v>
      </x:c>
      <x:c r="E26" s="15" t="n">
        <x:v>0</x:v>
      </x:c>
      <x:c r="F26" s="15" t="n">
        <x:v>33</x:v>
      </x:c>
      <x:c r="G26" s="15" t="n">
        <x:v>27</x:v>
      </x:c>
      <x:c r="H26" s="15" t="n">
        <x:v>0</x:v>
      </x:c>
      <x:c r="I26" s="15" t="str">
        <x:v>CONCRETADA</x:v>
      </x:c>
      <x:c r="J26" s="15" t="n">
        <x:v>1</x:v>
      </x:c>
      <x:c r="K26" s="15" t="str">
        <x:v>true</x:v>
      </x:c>
      <x:c r="L26" s="15" t="n">
        <x:v>2863.35</x:v>
      </x:c>
      <x:c r="M26" s="15" t="n">
        <x:v>3</x:v>
      </x:c>
      <x:c r="N26" s="15" t="n">
        <x:v>2</x:v>
      </x:c>
      <x:c r="O26" s="15" t="str">
        <x:v>ABIERTA</x:v>
      </x:c>
      <x:c r="P26" s="15" t="str">
        <x:v>Lino liviano DEMO</x:v>
      </x:c>
      <x:c r="Q26" s="15" t="str">
        <x:v>LIVIANO</x:v>
      </x:c>
      <x:c r="R26" s="15" t="str">
        <x:v>m² simulado</x:v>
      </x:c>
      <x:c r="S26" s="15" t="n">
        <x:v>1.12</x:v>
      </x:c>
      <x:c r="T26" s="15" t="n">
        <x:v>6.72</x:v>
      </x:c>
      <x:c r="U26" s="15" t="n">
        <x:v>28</x:v>
      </x:c>
      <x:c r="V26" s="15" t="n">
        <x:v>0</x:v>
      </x:c>
      <x:c r="W26" s="15" t="str">
        <x:v>SUFICIENTE_EN_ESCENARIO</x:v>
      </x:c>
      <x:c r="X26" s="15" t="n">
        <x:v>108</x:v>
      </x:c>
      <x:c r="Y26" s="15" t="n">
        <x:v>648</x:v>
      </x:c>
      <x:c r="Z26" s="15" t="n">
        <x:v>123.31</x:v>
      </x:c>
      <x:c r="AA26" s="28" t="n">
        <x:v>524.69</x:v>
      </x:c>
      <x:c r="AB26" s="15" t="n">
        <x:v>22</x:v>
      </x:c>
      <x:c r="AC26" s="28" t="n">
        <x:v>147.84</x:v>
      </x:c>
      <x:c r="AD26" s="28" t="n">
        <x:v>376.85</x:v>
      </x:c>
      <x:c r="AE26" s="15" t="str">
        <x:v>REVISAR_DATOS</x:v>
      </x:c>
      <x:c r="AF26" s="15" t="str">
        <x:v>true</x:v>
      </x:c>
    </x:row>
    <x:row r="27">
      <x:c r="A27" s="15" t="str">
        <x:v>SYN-026</x:v>
      </x:c>
      <x:c r="B27" s="15" t="str">
        <x:v>Toldos</x:v>
      </x:c>
      <x:c r="C27" s="15" t="n">
        <x:v>1.83</x:v>
      </x:c>
      <x:c r="D27" s="15" t="n">
        <x:v>1</x:v>
      </x:c>
      <x:c r="E27" s="15" t="n">
        <x:v>1</x:v>
      </x:c>
      <x:c r="F27" s="15" t="n">
        <x:v>33</x:v>
      </x:c>
      <x:c r="G27" s="15" t="n">
        <x:v>81</x:v>
      </x:c>
      <x:c r="H27" s="15" t="n">
        <x:v>3</x:v>
      </x:c>
      <x:c r="I27" s="15" t="str">
        <x:v>CONCRETADA</x:v>
      </x:c>
      <x:c r="J27" s="15" t="n">
        <x:v>1</x:v>
      </x:c>
      <x:c r="K27" s="15" t="str">
        <x:v>true</x:v>
      </x:c>
      <x:c r="L27" s="15" t="n">
        <x:v>1049.7</x:v>
      </x:c>
      <x:c r="M27" s="15" t="n">
        <x:v>3</x:v>
      </x:c>
      <x:c r="N27" s="15" t="n">
        <x:v>3</x:v>
      </x:c>
      <x:c r="O27" s="15" t="str">
        <x:v>NO_APLICA</x:v>
      </x:c>
      <x:c r="P27" s="15" t="str">
        <x:v>Tarflex DEMO</x:v>
      </x:c>
      <x:c r="Q27" s="15" t="str">
        <x:v>ESTANDAR</x:v>
      </x:c>
      <x:c r="R27" s="15" t="str">
        <x:v>m² simulado</x:v>
      </x:c>
      <x:c r="S27" s="15" t="n">
        <x:v>1.1</x:v>
      </x:c>
      <x:c r="T27" s="15" t="n">
        <x:v>9.9</x:v>
      </x:c>
      <x:c r="U27" s="15" t="n">
        <x:v>24</x:v>
      </x:c>
      <x:c r="V27" s="15" t="n">
        <x:v>0</x:v>
      </x:c>
      <x:c r="W27" s="15" t="str">
        <x:v>SUFICIENTE_EN_ESCENARIO</x:v>
      </x:c>
      <x:c r="X27" s="15" t="n">
        <x:v>112</x:v>
      </x:c>
      <x:c r="Y27" s="15" t="n">
        <x:v>1008</x:v>
      </x:c>
      <x:c r="Z27" s="15" t="n">
        <x:v>18.45</x:v>
      </x:c>
      <x:c r="AA27" s="28" t="n">
        <x:v>989.55</x:v>
      </x:c>
      <x:c r="AB27" s="15" t="n">
        <x:v>23</x:v>
      </x:c>
      <x:c r="AC27" s="28" t="n">
        <x:v>227.7</x:v>
      </x:c>
      <x:c r="AD27" s="28" t="n">
        <x:v>761.85</x:v>
      </x:c>
      <x:c r="AE27" s="15" t="str">
        <x:v>FACTIBLE_CON_REGLAS_SINTETICAS</x:v>
      </x:c>
      <x:c r="AF27" s="15" t="str">
        <x:v>true</x:v>
      </x:c>
    </x:row>
    <x:row r="28">
      <x:c r="A28" s="15" t="str">
        <x:v>SYN-027</x:v>
      </x:c>
      <x:c r="B28" s="15" t="str">
        <x:v>Tapizado de moto</x:v>
      </x:c>
      <x:c r="C28" s="15" t="n">
        <x:v>7.83</x:v>
      </x:c>
      <x:c r="D28" s="15" t="n">
        <x:v>1</x:v>
      </x:c>
      <x:c r="E28" s="15" t="n">
        <x:v>1</x:v>
      </x:c>
      <x:c r="F28" s="15" t="n">
        <x:v>8</x:v>
      </x:c>
      <x:c r="G28" s="15" t="n">
        <x:v>44</x:v>
      </x:c>
      <x:c r="H28" s="15" t="n">
        <x:v>6</x:v>
      </x:c>
      <x:c r="I28" s="15" t="str">
        <x:v>CONCRETADA</x:v>
      </x:c>
      <x:c r="J28" s="15" t="n">
        <x:v>1</x:v>
      </x:c>
      <x:c r="K28" s="15" t="str">
        <x:v>true</x:v>
      </x:c>
      <x:c r="L28" s="15" t="n">
        <x:v>6732.12</x:v>
      </x:c>
      <x:c r="M28" s="15" t="n">
        <x:v>5</x:v>
      </x:c>
      <x:c r="N28" s="15" t="n">
        <x:v>4</x:v>
      </x:c>
      <x:c r="O28" s="15" t="str">
        <x:v>NO_APLICA</x:v>
      </x:c>
      <x:c r="P28" s="15" t="str">
        <x:v>Oxford DEMO</x:v>
      </x:c>
      <x:c r="Q28" s="15" t="str">
        <x:v>NO_APLICA</x:v>
      </x:c>
      <x:c r="R28" s="15" t="str">
        <x:v>m² equivalente DEMO</x:v>
      </x:c>
      <x:c r="S28" s="15" t="n">
        <x:v>0.55</x:v>
      </x:c>
      <x:c r="T28" s="15" t="n">
        <x:v>11</x:v>
      </x:c>
      <x:c r="U28" s="15" t="n">
        <x:v>9</x:v>
      </x:c>
      <x:c r="V28" s="15" t="n">
        <x:v>2</x:v>
      </x:c>
      <x:c r="W28" s="15" t="str">
        <x:v>FALTANTE_EN_ESCENARIO</x:v>
      </x:c>
      <x:c r="X28" s="15" t="n">
        <x:v>155</x:v>
      </x:c>
      <x:c r="Y28" s="15" t="n">
        <x:v>3100</x:v>
      </x:c>
      <x:c r="Z28" s="15" t="n">
        <x:v>242.73</x:v>
      </x:c>
      <x:c r="AA28" s="28" t="n">
        <x:v>2857.27</x:v>
      </x:c>
      <x:c r="AB28" s="15" t="n">
        <x:v>38</x:v>
      </x:c>
      <x:c r="AC28" s="28" t="n">
        <x:v>418</x:v>
      </x:c>
      <x:c r="AD28" s="28" t="n">
        <x:v>2439.27</x:v>
      </x:c>
      <x:c r="AE28" s="15" t="str">
        <x:v>FALTA_STOCK</x:v>
      </x:c>
      <x:c r="AF28" s="15" t="str">
        <x:v>true</x:v>
      </x:c>
    </x:row>
    <x:row r="29">
      <x:c r="A29" s="15" t="str">
        <x:v>SYN-028</x:v>
      </x:c>
      <x:c r="B29" s="15" t="str">
        <x:v>Carpas</x:v>
      </x:c>
      <x:c r="C29" s="15" t="n">
        <x:v>15.92</x:v>
      </x:c>
      <x:c r="D29" s="15" t="n">
        <x:v>0</x:v>
      </x:c>
      <x:c r="E29" s="15" t="n">
        <x:v>0</x:v>
      </x:c>
      <x:c r="F29" s="15" t="n">
        <x:v>30</x:v>
      </x:c>
      <x:c r="G29" s="15" t="n">
        <x:v>65</x:v>
      </x:c>
      <x:c r="H29" s="15" t="n">
        <x:v>12</x:v>
      </x:c>
      <x:c r="I29" s="15" t="str">
        <x:v>NO_CONCRETADA</x:v>
      </x:c>
      <x:c r="J29" s="15" t="n">
        <x:v>0</x:v>
      </x:c>
      <x:c r="K29" s="15" t="str">
        <x:v>true</x:v>
      </x:c>
      <x:c r="L29" s="15" t="n">
        <x:v>7496.36</x:v>
      </x:c>
      <x:c r="M29" s="15" t="n">
        <x:v>6</x:v>
      </x:c>
      <x:c r="N29" s="15" t="n">
        <x:v>4</x:v>
      </x:c>
      <x:c r="O29" s="15" t="str">
        <x:v>CERRADA</x:v>
      </x:c>
      <x:c r="P29" s="15" t="str">
        <x:v>Lino económico DEMO</x:v>
      </x:c>
      <x:c r="Q29" s="15" t="str">
        <x:v>ECONOMICO</x:v>
      </x:c>
      <x:c r="R29" s="15" t="str">
        <x:v>m² simulado</x:v>
      </x:c>
      <x:c r="S29" s="15" t="n">
        <x:v>1.55</x:v>
      </x:c>
      <x:c r="T29" s="15" t="n">
        <x:v>37.2</x:v>
      </x:c>
      <x:c r="U29" s="15" t="n">
        <x:v>32</x:v>
      </x:c>
      <x:c r="V29" s="15" t="n">
        <x:v>5.2</x:v>
      </x:c>
      <x:c r="W29" s="15" t="str">
        <x:v>FALTANTE_EN_ESCENARIO</x:v>
      </x:c>
      <x:c r="X29" s="15" t="n">
        <x:v>95</x:v>
      </x:c>
      <x:c r="Y29" s="15" t="n">
        <x:v>3078</x:v>
      </x:c>
      <x:c r="Z29" s="15" t="n">
        <x:v>490.02</x:v>
      </x:c>
      <x:c r="AA29" s="28" t="n">
        <x:v>2587.98</x:v>
      </x:c>
      <x:c r="AB29" s="15" t="n">
        <x:v>18</x:v>
      </x:c>
      <x:c r="AC29" s="28" t="n">
        <x:v>669.6</x:v>
      </x:c>
      <x:c r="AD29" s="28" t="n">
        <x:v>1918.38</x:v>
      </x:c>
      <x:c r="AE29" s="15" t="str">
        <x:v>REVISAR_DATOS</x:v>
      </x:c>
      <x:c r="AF29" s="15" t="str">
        <x:v>true</x:v>
      </x:c>
    </x:row>
    <x:row r="30">
      <x:c r="A30" s="15" t="str">
        <x:v>SYN-029</x:v>
      </x:c>
      <x:c r="B30" s="15" t="str">
        <x:v>Toldos</x:v>
      </x:c>
      <x:c r="C30" s="15" t="n">
        <x:v>11.46</x:v>
      </x:c>
      <x:c r="D30" s="15" t="n">
        <x:v>1</x:v>
      </x:c>
      <x:c r="E30" s="15" t="n">
        <x:v>1</x:v>
      </x:c>
      <x:c r="F30" s="15" t="n">
        <x:v>73</x:v>
      </x:c>
      <x:c r="G30" s="15" t="n">
        <x:v>1</x:v>
      </x:c>
      <x:c r="H30" s="15" t="n">
        <x:v>16</x:v>
      </x:c>
      <x:c r="I30" s="15" t="str">
        <x:v>NO_CONCRETADA</x:v>
      </x:c>
      <x:c r="J30" s="15" t="n">
        <x:v>0</x:v>
      </x:c>
      <x:c r="K30" s="15" t="str">
        <x:v>true</x:v>
      </x:c>
      <x:c r="L30" s="15" t="n">
        <x:v>7284.82</x:v>
      </x:c>
      <x:c r="M30" s="15" t="n">
        <x:v>3</x:v>
      </x:c>
      <x:c r="N30" s="15" t="n">
        <x:v>3</x:v>
      </x:c>
      <x:c r="O30" s="15" t="str">
        <x:v>NO_APLICA</x:v>
      </x:c>
      <x:c r="P30" s="15" t="str">
        <x:v>Tarflex DEMO</x:v>
      </x:c>
      <x:c r="Q30" s="15" t="str">
        <x:v>ESTANDAR</x:v>
      </x:c>
      <x:c r="R30" s="15" t="str">
        <x:v>m² simulado</x:v>
      </x:c>
      <x:c r="S30" s="15" t="n">
        <x:v>1.1</x:v>
      </x:c>
      <x:c r="T30" s="15" t="n">
        <x:v>9.9</x:v>
      </x:c>
      <x:c r="U30" s="15" t="n">
        <x:v>24</x:v>
      </x:c>
      <x:c r="V30" s="15" t="n">
        <x:v>0</x:v>
      </x:c>
      <x:c r="W30" s="15" t="str">
        <x:v>SUFICIENTE_EN_ESCENARIO</x:v>
      </x:c>
      <x:c r="X30" s="15" t="n">
        <x:v>112</x:v>
      </x:c>
      <x:c r="Y30" s="15" t="n">
        <x:v>1008</x:v>
      </x:c>
      <x:c r="Z30" s="15" t="n">
        <x:v>115.52</x:v>
      </x:c>
      <x:c r="AA30" s="28" t="n">
        <x:v>892.48</x:v>
      </x:c>
      <x:c r="AB30" s="15" t="n">
        <x:v>23</x:v>
      </x:c>
      <x:c r="AC30" s="28" t="n">
        <x:v>227.7</x:v>
      </x:c>
      <x:c r="AD30" s="28" t="n">
        <x:v>664.78</x:v>
      </x:c>
      <x:c r="AE30" s="15" t="str">
        <x:v>FACTIBLE_CON_REGLAS_SINTETICAS</x:v>
      </x:c>
      <x:c r="AF30" s="15" t="str">
        <x:v>true</x:v>
      </x:c>
    </x:row>
    <x:row r="31">
      <x:c r="A31" s="15" t="str">
        <x:v>SYN-030</x:v>
      </x:c>
      <x:c r="B31" s="15" t="str">
        <x:v>Tapizado de moto</x:v>
      </x:c>
      <x:c r="C31" s="15" t="n">
        <x:v>2.31</x:v>
      </x:c>
      <x:c r="D31" s="15" t="n">
        <x:v>1</x:v>
      </x:c>
      <x:c r="E31" s="15" t="n">
        <x:v>1</x:v>
      </x:c>
      <x:c r="F31" s="15" t="n">
        <x:v>7</x:v>
      </x:c>
      <x:c r="G31" s="15" t="n">
        <x:v>40</x:v>
      </x:c>
      <x:c r="H31" s="15" t="n">
        <x:v>9</x:v>
      </x:c>
      <x:c r="I31" s="15" t="str">
        <x:v>CONCRETADA</x:v>
      </x:c>
      <x:c r="J31" s="15" t="n">
        <x:v>1</x:v>
      </x:c>
      <x:c r="K31" s="15" t="str">
        <x:v>true</x:v>
      </x:c>
      <x:c r="L31" s="15" t="n">
        <x:v>5479.68</x:v>
      </x:c>
      <x:c r="M31" s="15" t="n">
        <x:v>3</x:v>
      </x:c>
      <x:c r="N31" s="15" t="n">
        <x:v>2</x:v>
      </x:c>
      <x:c r="O31" s="15" t="str">
        <x:v>NO_APLICA</x:v>
      </x:c>
      <x:c r="P31" s="15" t="str">
        <x:v>Oxford DEMO</x:v>
      </x:c>
      <x:c r="Q31" s="15" t="str">
        <x:v>NO_APLICA</x:v>
      </x:c>
      <x:c r="R31" s="15" t="str">
        <x:v>m² equivalente DEMO</x:v>
      </x:c>
      <x:c r="S31" s="15" t="n">
        <x:v>0.55</x:v>
      </x:c>
      <x:c r="T31" s="15" t="n">
        <x:v>3.3</x:v>
      </x:c>
      <x:c r="U31" s="15" t="n">
        <x:v>9</x:v>
      </x:c>
      <x:c r="V31" s="15" t="n">
        <x:v>0</x:v>
      </x:c>
      <x:c r="W31" s="15" t="str">
        <x:v>SUFICIENTE_EN_ESCENARIO</x:v>
      </x:c>
      <x:c r="X31" s="15" t="n">
        <x:v>155</x:v>
      </x:c>
      <x:c r="Y31" s="15" t="n">
        <x:v>930</x:v>
      </x:c>
      <x:c r="Z31" s="15" t="n">
        <x:v>21.48</x:v>
      </x:c>
      <x:c r="AA31" s="28" t="n">
        <x:v>908.52</x:v>
      </x:c>
      <x:c r="AB31" s="15" t="n">
        <x:v>38</x:v>
      </x:c>
      <x:c r="AC31" s="28" t="n">
        <x:v>125.4</x:v>
      </x:c>
      <x:c r="AD31" s="28" t="n">
        <x:v>783.12</x:v>
      </x:c>
      <x:c r="AE31" s="15" t="str">
        <x:v>FACTIBLE_CON_REGLAS_SINTETICAS</x:v>
      </x:c>
      <x:c r="AF31" s="15" t="str">
        <x:v>true</x:v>
      </x:c>
    </x:row>
    <x:row r="32">
      <x:c r="A32" s="15" t="str">
        <x:v>SYN-031</x:v>
      </x:c>
      <x:c r="B32" s="15" t="str">
        <x:v>Carpas</x:v>
      </x:c>
      <x:c r="C32" s="15" t="n">
        <x:v>10.5</x:v>
      </x:c>
      <x:c r="D32" s="15" t="n">
        <x:v>1</x:v>
      </x:c>
      <x:c r="E32" s="15" t="n">
        <x:v>1</x:v>
      </x:c>
      <x:c r="F32" s="15" t="n">
        <x:v>12</x:v>
      </x:c>
      <x:c r="G32" s="15" t="n">
        <x:v>15</x:v>
      </x:c>
      <x:c r="H32" s="15" t="n">
        <x:v>9</x:v>
      </x:c>
      <x:c r="I32" s="15" t="str">
        <x:v>CONCRETADA</x:v>
      </x:c>
      <x:c r="J32" s="15" t="n">
        <x:v>1</x:v>
      </x:c>
      <x:c r="K32" s="15" t="str">
        <x:v>true</x:v>
      </x:c>
      <x:c r="L32" s="15" t="n">
        <x:v>6738.7</x:v>
      </x:c>
      <x:c r="M32" s="15" t="n">
        <x:v>4</x:v>
      </x:c>
      <x:c r="N32" s="15" t="n">
        <x:v>3</x:v>
      </x:c>
      <x:c r="O32" s="15" t="str">
        <x:v>CERRADA</x:v>
      </x:c>
      <x:c r="P32" s="15" t="str">
        <x:v>Lino pesado DEMO</x:v>
      </x:c>
      <x:c r="Q32" s="15" t="str">
        <x:v>PESADO</x:v>
      </x:c>
      <x:c r="R32" s="15" t="str">
        <x:v>m² simulado</x:v>
      </x:c>
      <x:c r="S32" s="15" t="n">
        <x:v>1.55</x:v>
      </x:c>
      <x:c r="T32" s="15" t="n">
        <x:v>18.6</x:v>
      </x:c>
      <x:c r="U32" s="15" t="n">
        <x:v>20</x:v>
      </x:c>
      <x:c r="V32" s="15" t="n">
        <x:v>0</x:v>
      </x:c>
      <x:c r="W32" s="15" t="str">
        <x:v>SUFICIENTE_EN_ESCENARIO</x:v>
      </x:c>
      <x:c r="X32" s="15" t="n">
        <x:v>125</x:v>
      </x:c>
      <x:c r="Y32" s="15" t="n">
        <x:v>2025</x:v>
      </x:c>
      <x:c r="Z32" s="15" t="n">
        <x:v>212.63</x:v>
      </x:c>
      <x:c r="AA32" s="28" t="n">
        <x:v>1812.38</x:v>
      </x:c>
      <x:c r="AB32" s="15" t="n">
        <x:v>29</x:v>
      </x:c>
      <x:c r="AC32" s="28" t="n">
        <x:v>539.4</x:v>
      </x:c>
      <x:c r="AD32" s="28" t="n">
        <x:v>1272.98</x:v>
      </x:c>
      <x:c r="AE32" s="15" t="str">
        <x:v>FACTIBLE_CON_REGLAS_SINTETICAS</x:v>
      </x:c>
      <x:c r="AF32" s="15" t="str">
        <x:v>true</x:v>
      </x:c>
    </x:row>
    <x:row r="33">
      <x:c r="A33" s="15" t="str">
        <x:v>SYN-032</x:v>
      </x:c>
      <x:c r="B33" s="15" t="str">
        <x:v>Toldos</x:v>
      </x:c>
      <x:c r="C33" s="15" t="n">
        <x:v>5.55</x:v>
      </x:c>
      <x:c r="D33" s="15" t="n">
        <x:v>1</x:v>
      </x:c>
      <x:c r="E33" s="15" t="n">
        <x:v>1</x:v>
      </x:c>
      <x:c r="F33" s="15" t="n">
        <x:v>29</x:v>
      </x:c>
      <x:c r="G33" s="15" t="n">
        <x:v>67</x:v>
      </x:c>
      <x:c r="H33" s="15" t="n">
        <x:v>18</x:v>
      </x:c>
      <x:c r="I33" s="15" t="str">
        <x:v>NO_CONCRETADA</x:v>
      </x:c>
      <x:c r="J33" s="15" t="n">
        <x:v>0</x:v>
      </x:c>
      <x:c r="K33" s="15" t="str">
        <x:v>true</x:v>
      </x:c>
      <x:c r="L33" s="15" t="n">
        <x:v>4382.66</x:v>
      </x:c>
      <x:c r="M33" s="15" t="n">
        <x:v>5</x:v>
      </x:c>
      <x:c r="N33" s="15" t="n">
        <x:v>4</x:v>
      </x:c>
      <x:c r="O33" s="15" t="str">
        <x:v>NO_APLICA</x:v>
      </x:c>
      <x:c r="P33" s="15" t="str">
        <x:v>Tarflex DEMO</x:v>
      </x:c>
      <x:c r="Q33" s="15" t="str">
        <x:v>ESTANDAR</x:v>
      </x:c>
      <x:c r="R33" s="15" t="str">
        <x:v>m² simulado</x:v>
      </x:c>
      <x:c r="S33" s="15" t="n">
        <x:v>1.1</x:v>
      </x:c>
      <x:c r="T33" s="15" t="n">
        <x:v>22</x:v>
      </x:c>
      <x:c r="U33" s="15" t="n">
        <x:v>24</x:v>
      </x:c>
      <x:c r="V33" s="15" t="n">
        <x:v>0</x:v>
      </x:c>
      <x:c r="W33" s="15" t="str">
        <x:v>SUFICIENTE_EN_ESCENARIO</x:v>
      </x:c>
      <x:c r="X33" s="15" t="n">
        <x:v>112</x:v>
      </x:c>
      <x:c r="Y33" s="15" t="n">
        <x:v>2240</x:v>
      </x:c>
      <x:c r="Z33" s="15" t="n">
        <x:v>124.32</x:v>
      </x:c>
      <x:c r="AA33" s="28" t="n">
        <x:v>2115.68</x:v>
      </x:c>
      <x:c r="AB33" s="15" t="n">
        <x:v>23</x:v>
      </x:c>
      <x:c r="AC33" s="28" t="n">
        <x:v>506</x:v>
      </x:c>
      <x:c r="AD33" s="28" t="n">
        <x:v>1609.68</x:v>
      </x:c>
      <x:c r="AE33" s="15" t="str">
        <x:v>FACTIBLE_CON_REGLAS_SINTETICAS</x:v>
      </x:c>
      <x:c r="AF33" s="15" t="str">
        <x:v>true</x:v>
      </x:c>
    </x:row>
    <x:row r="34">
      <x:c r="A34" s="15" t="str">
        <x:v>SYN-033</x:v>
      </x:c>
      <x:c r="B34" s="15" t="str">
        <x:v>Tapizado de moto</x:v>
      </x:c>
      <x:c r="C34" s="15" t="n">
        <x:v>0.66</x:v>
      </x:c>
      <x:c r="D34" s="15" t="n">
        <x:v>1</x:v>
      </x:c>
      <x:c r="E34" s="15" t="n">
        <x:v>1</x:v>
      </x:c>
      <x:c r="F34" s="15" t="n">
        <x:v>3</x:v>
      </x:c>
      <x:c r="G34" s="15" t="n">
        <x:v>20</x:v>
      </x:c>
      <x:c r="H34" s="15" t="n">
        <x:v>20</x:v>
      </x:c>
      <x:c r="I34" s="15" t="str">
        <x:v>CONCRETADA</x:v>
      </x:c>
      <x:c r="J34" s="15" t="n">
        <x:v>1</x:v>
      </x:c>
      <x:c r="K34" s="15" t="str">
        <x:v>true</x:v>
      </x:c>
      <x:c r="L34" s="15" t="n">
        <x:v>1881.7</x:v>
      </x:c>
      <x:c r="M34" s="15" t="n">
        <x:v>4</x:v>
      </x:c>
      <x:c r="N34" s="15" t="n">
        <x:v>3</x:v>
      </x:c>
      <x:c r="O34" s="15" t="str">
        <x:v>NO_APLICA</x:v>
      </x:c>
      <x:c r="P34" s="15" t="str">
        <x:v>Oxford DEMO</x:v>
      </x:c>
      <x:c r="Q34" s="15" t="str">
        <x:v>NO_APLICA</x:v>
      </x:c>
      <x:c r="R34" s="15" t="str">
        <x:v>m² equivalente DEMO</x:v>
      </x:c>
      <x:c r="S34" s="15" t="n">
        <x:v>0.55</x:v>
      </x:c>
      <x:c r="T34" s="15" t="n">
        <x:v>6.6</x:v>
      </x:c>
      <x:c r="U34" s="15" t="n">
        <x:v>9</x:v>
      </x:c>
      <x:c r="V34" s="15" t="n">
        <x:v>0</x:v>
      </x:c>
      <x:c r="W34" s="15" t="str">
        <x:v>SUFICIENTE_EN_ESCENARIO</x:v>
      </x:c>
      <x:c r="X34" s="15" t="n">
        <x:v>155</x:v>
      </x:c>
      <x:c r="Y34" s="15" t="n">
        <x:v>1860</x:v>
      </x:c>
      <x:c r="Z34" s="15" t="n">
        <x:v>12.28</x:v>
      </x:c>
      <x:c r="AA34" s="28" t="n">
        <x:v>1847.72</x:v>
      </x:c>
      <x:c r="AB34" s="15" t="n">
        <x:v>38</x:v>
      </x:c>
      <x:c r="AC34" s="28" t="n">
        <x:v>250.8</x:v>
      </x:c>
      <x:c r="AD34" s="28" t="n">
        <x:v>1596.92</x:v>
      </x:c>
      <x:c r="AE34" s="15" t="str">
        <x:v>FACTIBLE_CON_REGLAS_SINTETICAS</x:v>
      </x:c>
      <x:c r="AF34" s="15" t="str">
        <x:v>true</x:v>
      </x:c>
    </x:row>
    <x:row r="35">
      <x:c r="A35" s="15" t="str">
        <x:v>SYN-034</x:v>
      </x:c>
      <x:c r="B35" s="15" t="str">
        <x:v>Carpas</x:v>
      </x:c>
      <x:c r="C35" s="15" t="n">
        <x:v>4.69</x:v>
      </x:c>
      <x:c r="D35" s="15" t="n">
        <x:v>1</x:v>
      </x:c>
      <x:c r="E35" s="15" t="n">
        <x:v>1</x:v>
      </x:c>
      <x:c r="F35" s="15" t="n">
        <x:v>5</x:v>
      </x:c>
      <x:c r="G35" s="15" t="n">
        <x:v>20</x:v>
      </x:c>
      <x:c r="H35" s="15" t="n">
        <x:v>6</x:v>
      </x:c>
      <x:c r="I35" s="15" t="str">
        <x:v>CONCRETADA</x:v>
      </x:c>
      <x:c r="J35" s="15" t="n">
        <x:v>1</x:v>
      </x:c>
      <x:c r="K35" s="15" t="str">
        <x:v>true</x:v>
      </x:c>
      <x:c r="L35" s="15" t="n">
        <x:v>4285.23</x:v>
      </x:c>
      <x:c r="M35" s="15" t="n">
        <x:v>5</x:v>
      </x:c>
      <x:c r="N35" s="15" t="n">
        <x:v>4</x:v>
      </x:c>
      <x:c r="O35" s="15" t="str">
        <x:v>ABIERTA</x:v>
      </x:c>
      <x:c r="P35" s="15" t="str">
        <x:v>Lino económico DEMO</x:v>
      </x:c>
      <x:c r="Q35" s="15" t="str">
        <x:v>ECONOMICO</x:v>
      </x:c>
      <x:c r="R35" s="15" t="str">
        <x:v>m² simulado</x:v>
      </x:c>
      <x:c r="S35" s="15" t="n">
        <x:v>1.12</x:v>
      </x:c>
      <x:c r="T35" s="15" t="n">
        <x:v>22.4</x:v>
      </x:c>
      <x:c r="U35" s="15" t="n">
        <x:v>32</x:v>
      </x:c>
      <x:c r="V35" s="15" t="n">
        <x:v>0</x:v>
      </x:c>
      <x:c r="W35" s="15" t="str">
        <x:v>SUFICIENTE_EN_ESCENARIO</x:v>
      </x:c>
      <x:c r="X35" s="15" t="n">
        <x:v>95</x:v>
      </x:c>
      <x:c r="Y35" s="15" t="n">
        <x:v>1900</x:v>
      </x:c>
      <x:c r="Z35" s="15" t="n">
        <x:v>89.11</x:v>
      </x:c>
      <x:c r="AA35" s="28" t="n">
        <x:v>1810.89</x:v>
      </x:c>
      <x:c r="AB35" s="15" t="n">
        <x:v>18</x:v>
      </x:c>
      <x:c r="AC35" s="28" t="n">
        <x:v>403.2</x:v>
      </x:c>
      <x:c r="AD35" s="28" t="n">
        <x:v>1407.69</x:v>
      </x:c>
      <x:c r="AE35" s="15" t="str">
        <x:v>FACTIBLE_CON_REGLAS_SINTETICAS</x:v>
      </x:c>
      <x:c r="AF35" s="15" t="str">
        <x:v>true</x:v>
      </x:c>
    </x:row>
    <x:row r="36">
      <x:c r="A36" s="15" t="str">
        <x:v>SYN-035</x:v>
      </x:c>
      <x:c r="B36" s="15" t="str">
        <x:v>Toldos</x:v>
      </x:c>
      <x:c r="C36" s="15" t="n">
        <x:v>6.56</x:v>
      </x:c>
      <x:c r="D36" s="15" t="n">
        <x:v>0</x:v>
      </x:c>
      <x:c r="E36" s="15" t="n">
        <x:v>0</x:v>
      </x:c>
      <x:c r="F36" s="15" t="n">
        <x:v>13</x:v>
      </x:c>
      <x:c r="G36" s="15" t="n">
        <x:v>59</x:v>
      </x:c>
      <x:c r="H36" s="15" t="n">
        <x:v>7</x:v>
      </x:c>
      <x:c r="I36" s="15" t="str">
        <x:v>NO_CONCRETADA</x:v>
      </x:c>
      <x:c r="J36" s="15" t="n">
        <x:v>0</x:v>
      </x:c>
      <x:c r="K36" s="15" t="str">
        <x:v>true</x:v>
      </x:c>
      <x:c r="L36" s="15" t="n">
        <x:v>1048.55</x:v>
      </x:c>
      <x:c r="M36" s="15" t="n">
        <x:v>3</x:v>
      </x:c>
      <x:c r="N36" s="15" t="n">
        <x:v>3</x:v>
      </x:c>
      <x:c r="O36" s="15" t="str">
        <x:v>NO_APLICA</x:v>
      </x:c>
      <x:c r="P36" s="15" t="str">
        <x:v>Tarflex DEMO</x:v>
      </x:c>
      <x:c r="Q36" s="15" t="str">
        <x:v>ESTANDAR</x:v>
      </x:c>
      <x:c r="R36" s="15" t="str">
        <x:v>m² simulado</x:v>
      </x:c>
      <x:c r="S36" s="15" t="n">
        <x:v>1.1</x:v>
      </x:c>
      <x:c r="T36" s="15" t="n">
        <x:v>9.9</x:v>
      </x:c>
      <x:c r="U36" s="15" t="n">
        <x:v>24</x:v>
      </x:c>
      <x:c r="V36" s="15" t="n">
        <x:v>0</x:v>
      </x:c>
      <x:c r="W36" s="15" t="str">
        <x:v>SUFICIENTE_EN_ESCENARIO</x:v>
      </x:c>
      <x:c r="X36" s="15" t="n">
        <x:v>112</x:v>
      </x:c>
      <x:c r="Y36" s="15" t="n">
        <x:v>1008</x:v>
      </x:c>
      <x:c r="Z36" s="15" t="n">
        <x:v>66.12</x:v>
      </x:c>
      <x:c r="AA36" s="28" t="n">
        <x:v>941.88</x:v>
      </x:c>
      <x:c r="AB36" s="15" t="n">
        <x:v>23</x:v>
      </x:c>
      <x:c r="AC36" s="28" t="n">
        <x:v>227.7</x:v>
      </x:c>
      <x:c r="AD36" s="28" t="n">
        <x:v>714.18</x:v>
      </x:c>
      <x:c r="AE36" s="15" t="str">
        <x:v>REVISAR_DATOS</x:v>
      </x:c>
      <x:c r="AF36" s="15" t="str">
        <x:v>true</x:v>
      </x:c>
    </x:row>
    <x:row r="37">
      <x:c r="A37" s="15" t="str">
        <x:v>SYN-036</x:v>
      </x:c>
      <x:c r="B37" s="15" t="str">
        <x:v>Tapizado de moto</x:v>
      </x:c>
      <x:c r="C37" s="15" t="n">
        <x:v>19.92</x:v>
      </x:c>
      <x:c r="D37" s="15" t="n">
        <x:v>0</x:v>
      </x:c>
      <x:c r="E37" s="15" t="n">
        <x:v>0</x:v>
      </x:c>
      <x:c r="F37" s="15" t="n">
        <x:v>26</x:v>
      </x:c>
      <x:c r="G37" s="15" t="n">
        <x:v>28</x:v>
      </x:c>
      <x:c r="H37" s="15" t="n">
        <x:v>6</x:v>
      </x:c>
      <x:c r="I37" s="15" t="str">
        <x:v>CONCRETADA</x:v>
      </x:c>
      <x:c r="J37" s="15" t="n">
        <x:v>1</x:v>
      </x:c>
      <x:c r="K37" s="15" t="str">
        <x:v>true</x:v>
      </x:c>
      <x:c r="L37" s="15" t="n">
        <x:v>3860.16</x:v>
      </x:c>
      <x:c r="M37" s="15" t="n">
        <x:v>3</x:v>
      </x:c>
      <x:c r="N37" s="15" t="n">
        <x:v>2</x:v>
      </x:c>
      <x:c r="O37" s="15" t="str">
        <x:v>NO_APLICA</x:v>
      </x:c>
      <x:c r="P37" s="15" t="str">
        <x:v>Oxford DEMO</x:v>
      </x:c>
      <x:c r="Q37" s="15" t="str">
        <x:v>NO_APLICA</x:v>
      </x:c>
      <x:c r="R37" s="15" t="str">
        <x:v>m² equivalente DEMO</x:v>
      </x:c>
      <x:c r="S37" s="15" t="n">
        <x:v>0.55</x:v>
      </x:c>
      <x:c r="T37" s="15" t="n">
        <x:v>3.3</x:v>
      </x:c>
      <x:c r="U37" s="15" t="n">
        <x:v>9</x:v>
      </x:c>
      <x:c r="V37" s="15" t="n">
        <x:v>0</x:v>
      </x:c>
      <x:c r="W37" s="15" t="str">
        <x:v>SUFICIENTE_EN_ESCENARIO</x:v>
      </x:c>
      <x:c r="X37" s="15" t="n">
        <x:v>155</x:v>
      </x:c>
      <x:c r="Y37" s="15" t="n">
        <x:v>930</x:v>
      </x:c>
      <x:c r="Z37" s="15" t="n">
        <x:v>185.26</x:v>
      </x:c>
      <x:c r="AA37" s="28" t="n">
        <x:v>744.74</x:v>
      </x:c>
      <x:c r="AB37" s="15" t="n">
        <x:v>38</x:v>
      </x:c>
      <x:c r="AC37" s="28" t="n">
        <x:v>125.4</x:v>
      </x:c>
      <x:c r="AD37" s="28" t="n">
        <x:v>619.34</x:v>
      </x:c>
      <x:c r="AE37" s="15" t="str">
        <x:v>REVISAR_DATOS</x:v>
      </x:c>
      <x:c r="AF37" s="15" t="str">
        <x:v>true</x:v>
      </x:c>
    </x:row>
    <x:row r="38">
      <x:c r="A38" s="15" t="str">
        <x:v>SYN-037</x:v>
      </x:c>
      <x:c r="B38" s="15" t="str">
        <x:v>Carpas</x:v>
      </x:c>
      <x:c r="C38" s="15" t="n">
        <x:v>3.87</x:v>
      </x:c>
      <x:c r="D38" s="15" t="n">
        <x:v>1</x:v>
      </x:c>
      <x:c r="E38" s="15" t="n">
        <x:v>1</x:v>
      </x:c>
      <x:c r="F38" s="15" t="n">
        <x:v>75</x:v>
      </x:c>
      <x:c r="G38" s="15" t="n">
        <x:v>70</x:v>
      </x:c>
      <x:c r="H38" s="15" t="n">
        <x:v>10</x:v>
      </x:c>
      <x:c r="I38" s="15" t="str">
        <x:v>NO_CONCRETADA</x:v>
      </x:c>
      <x:c r="J38" s="15" t="n">
        <x:v>0</x:v>
      </x:c>
      <x:c r="K38" s="15" t="str">
        <x:v>true</x:v>
      </x:c>
      <x:c r="L38" s="15" t="n">
        <x:v>7614.09</x:v>
      </x:c>
      <x:c r="M38" s="15" t="n">
        <x:v>3</x:v>
      </x:c>
      <x:c r="N38" s="15" t="n">
        <x:v>3</x:v>
      </x:c>
      <x:c r="O38" s="15" t="str">
        <x:v>CERRADA</x:v>
      </x:c>
      <x:c r="P38" s="15" t="str">
        <x:v>Lino económico DEMO</x:v>
      </x:c>
      <x:c r="Q38" s="15" t="str">
        <x:v>ECONOMICO</x:v>
      </x:c>
      <x:c r="R38" s="15" t="str">
        <x:v>m² simulado</x:v>
      </x:c>
      <x:c r="S38" s="15" t="n">
        <x:v>1.55</x:v>
      </x:c>
      <x:c r="T38" s="15" t="n">
        <x:v>13.95</x:v>
      </x:c>
      <x:c r="U38" s="15" t="n">
        <x:v>32</x:v>
      </x:c>
      <x:c r="V38" s="15" t="n">
        <x:v>0</x:v>
      </x:c>
      <x:c r="W38" s="15" t="str">
        <x:v>SUFICIENTE_EN_ESCENARIO</x:v>
      </x:c>
      <x:c r="X38" s="15" t="n">
        <x:v>95</x:v>
      </x:c>
      <x:c r="Y38" s="15" t="n">
        <x:v>1154.25</x:v>
      </x:c>
      <x:c r="Z38" s="15" t="n">
        <x:v>44.67</x:v>
      </x:c>
      <x:c r="AA38" s="28" t="n">
        <x:v>1109.58</x:v>
      </x:c>
      <x:c r="AB38" s="15" t="n">
        <x:v>18</x:v>
      </x:c>
      <x:c r="AC38" s="28" t="n">
        <x:v>251.1</x:v>
      </x:c>
      <x:c r="AD38" s="28" t="n">
        <x:v>858.48</x:v>
      </x:c>
      <x:c r="AE38" s="15" t="str">
        <x:v>FACTIBLE_CON_REGLAS_SINTETICAS</x:v>
      </x:c>
      <x:c r="AF38" s="15" t="str">
        <x:v>true</x:v>
      </x:c>
    </x:row>
    <x:row r="39">
      <x:c r="A39" s="15" t="str">
        <x:v>SYN-038</x:v>
      </x:c>
      <x:c r="B39" s="15" t="str">
        <x:v>Toldos</x:v>
      </x:c>
      <x:c r="C39" s="15" t="n">
        <x:v>5.46</x:v>
      </x:c>
      <x:c r="D39" s="15" t="n">
        <x:v>1</x:v>
      </x:c>
      <x:c r="E39" s="15" t="n">
        <x:v>0</x:v>
      </x:c>
      <x:c r="F39" s="15" t="n">
        <x:v>7</x:v>
      </x:c>
      <x:c r="G39" s="15" t="n">
        <x:v>56</x:v>
      </x:c>
      <x:c r="H39" s="15" t="n">
        <x:v>14</x:v>
      </x:c>
      <x:c r="I39" s="15" t="str">
        <x:v>CONCRETADA</x:v>
      </x:c>
      <x:c r="J39" s="15" t="n">
        <x:v>1</x:v>
      </x:c>
      <x:c r="K39" s="15" t="str">
        <x:v>true</x:v>
      </x:c>
      <x:c r="L39" s="15" t="n">
        <x:v>2657.72</x:v>
      </x:c>
      <x:c r="M39" s="15" t="n">
        <x:v>3</x:v>
      </x:c>
      <x:c r="N39" s="15" t="n">
        <x:v>3</x:v>
      </x:c>
      <x:c r="O39" s="15" t="str">
        <x:v>NO_APLICA</x:v>
      </x:c>
      <x:c r="P39" s="15" t="str">
        <x:v>Lona orillo azul DEMO</x:v>
      </x:c>
      <x:c r="Q39" s="15" t="str">
        <x:v>ESTANDAR</x:v>
      </x:c>
      <x:c r="R39" s="15" t="str">
        <x:v>m² simulado</x:v>
      </x:c>
      <x:c r="S39" s="15" t="n">
        <x:v>1.1</x:v>
      </x:c>
      <x:c r="T39" s="15" t="n">
        <x:v>9.9</x:v>
      </x:c>
      <x:c r="U39" s="15" t="n">
        <x:v>22</x:v>
      </x:c>
      <x:c r="V39" s="15" t="n">
        <x:v>0</x:v>
      </x:c>
      <x:c r="W39" s="15" t="str">
        <x:v>SUFICIENTE_EN_ESCENARIO</x:v>
      </x:c>
      <x:c r="X39" s="15" t="n">
        <x:v>120</x:v>
      </x:c>
      <x:c r="Y39" s="15" t="n">
        <x:v>1080</x:v>
      </x:c>
      <x:c r="Z39" s="15" t="n">
        <x:v>58.97</x:v>
      </x:c>
      <x:c r="AA39" s="28" t="n">
        <x:v>1021.03</x:v>
      </x:c>
      <x:c r="AB39" s="15" t="n">
        <x:v>25</x:v>
      </x:c>
      <x:c r="AC39" s="28" t="n">
        <x:v>247.5</x:v>
      </x:c>
      <x:c r="AD39" s="28" t="n">
        <x:v>773.53</x:v>
      </x:c>
      <x:c r="AE39" s="15" t="str">
        <x:v>FACTIBLE_CON_REGLAS_SINTETICAS</x:v>
      </x:c>
      <x:c r="AF39" s="15" t="str">
        <x:v>true</x:v>
      </x:c>
    </x:row>
    <x:row r="40">
      <x:c r="A40" s="15" t="str">
        <x:v>SYN-039</x:v>
      </x:c>
      <x:c r="B40" s="15" t="str">
        <x:v>Tapizado de moto</x:v>
      </x:c>
      <x:c r="C40" s="15" t="n">
        <x:v>6.07</x:v>
      </x:c>
      <x:c r="D40" s="15" t="n">
        <x:v>1</x:v>
      </x:c>
      <x:c r="E40" s="15" t="n">
        <x:v>1</x:v>
      </x:c>
      <x:c r="F40" s="15" t="n">
        <x:v>58</x:v>
      </x:c>
      <x:c r="G40" s="15" t="n">
        <x:v>25</x:v>
      </x:c>
      <x:c r="H40" s="15" t="n">
        <x:v>13</x:v>
      </x:c>
      <x:c r="I40" s="15" t="str">
        <x:v>CONCRETADA</x:v>
      </x:c>
      <x:c r="J40" s="15" t="n">
        <x:v>1</x:v>
      </x:c>
      <x:c r="K40" s="15" t="str">
        <x:v>true</x:v>
      </x:c>
      <x:c r="L40" s="15" t="n">
        <x:v>5600.36</x:v>
      </x:c>
      <x:c r="M40" s="15" t="n">
        <x:v>6</x:v>
      </x:c>
      <x:c r="N40" s="15" t="n">
        <x:v>4</x:v>
      </x:c>
      <x:c r="O40" s="15" t="str">
        <x:v>NO_APLICA</x:v>
      </x:c>
      <x:c r="P40" s="15" t="str">
        <x:v>Oxford DEMO</x:v>
      </x:c>
      <x:c r="Q40" s="15" t="str">
        <x:v>NO_APLICA</x:v>
      </x:c>
      <x:c r="R40" s="15" t="str">
        <x:v>m² equivalente DEMO</x:v>
      </x:c>
      <x:c r="S40" s="15" t="n">
        <x:v>0.55</x:v>
      </x:c>
      <x:c r="T40" s="15" t="n">
        <x:v>13.2</x:v>
      </x:c>
      <x:c r="U40" s="15" t="n">
        <x:v>9</x:v>
      </x:c>
      <x:c r="V40" s="15" t="n">
        <x:v>4.2</x:v>
      </x:c>
      <x:c r="W40" s="15" t="str">
        <x:v>FALTANTE_EN_ESCENARIO</x:v>
      </x:c>
      <x:c r="X40" s="15" t="n">
        <x:v>155</x:v>
      </x:c>
      <x:c r="Y40" s="15" t="n">
        <x:v>3720</x:v>
      </x:c>
      <x:c r="Z40" s="15" t="n">
        <x:v>225.8</x:v>
      </x:c>
      <x:c r="AA40" s="28" t="n">
        <x:v>3494.2</x:v>
      </x:c>
      <x:c r="AB40" s="15" t="n">
        <x:v>38</x:v>
      </x:c>
      <x:c r="AC40" s="28" t="n">
        <x:v>501.6</x:v>
      </x:c>
      <x:c r="AD40" s="28" t="n">
        <x:v>2992.6</x:v>
      </x:c>
      <x:c r="AE40" s="15" t="str">
        <x:v>FALTA_STOCK</x:v>
      </x:c>
      <x:c r="AF40" s="15" t="str">
        <x:v>true</x:v>
      </x:c>
    </x:row>
    <x:row r="41">
      <x:c r="A41" s="15" t="str">
        <x:v>SYN-040</x:v>
      </x:c>
      <x:c r="B41" s="15" t="str">
        <x:v>Carpas</x:v>
      </x:c>
      <x:c r="C41" s="15" t="n">
        <x:v>7.51</x:v>
      </x:c>
      <x:c r="D41" s="15" t="n">
        <x:v>1</x:v>
      </x:c>
      <x:c r="E41" s="15" t="n">
        <x:v>1</x:v>
      </x:c>
      <x:c r="F41" s="15" t="n">
        <x:v>26</x:v>
      </x:c>
      <x:c r="G41" s="15" t="n">
        <x:v>5</x:v>
      </x:c>
      <x:c r="H41" s="15" t="n">
        <x:v>17</x:v>
      </x:c>
      <x:c r="I41" s="15" t="str">
        <x:v>CONCRETADA</x:v>
      </x:c>
      <x:c r="J41" s="15" t="n">
        <x:v>1</x:v>
      </x:c>
      <x:c r="K41" s="15" t="str">
        <x:v>true</x:v>
      </x:c>
      <x:c r="L41" s="15" t="n">
        <x:v>1293.44</x:v>
      </x:c>
      <x:c r="M41" s="15" t="n">
        <x:v>3</x:v>
      </x:c>
      <x:c r="N41" s="15" t="n">
        <x:v>2</x:v>
      </x:c>
      <x:c r="O41" s="15" t="str">
        <x:v>CERRADA</x:v>
      </x:c>
      <x:c r="P41" s="15" t="str">
        <x:v>Lino económico DEMO</x:v>
      </x:c>
      <x:c r="Q41" s="15" t="str">
        <x:v>ECONOMICO</x:v>
      </x:c>
      <x:c r="R41" s="15" t="str">
        <x:v>m² simulado</x:v>
      </x:c>
      <x:c r="S41" s="15" t="n">
        <x:v>1.55</x:v>
      </x:c>
      <x:c r="T41" s="15" t="n">
        <x:v>9.3</x:v>
      </x:c>
      <x:c r="U41" s="15" t="n">
        <x:v>32</x:v>
      </x:c>
      <x:c r="V41" s="15" t="n">
        <x:v>0</x:v>
      </x:c>
      <x:c r="W41" s="15" t="str">
        <x:v>SUFICIENTE_EN_ESCENARIO</x:v>
      </x:c>
      <x:c r="X41" s="15" t="n">
        <x:v>95</x:v>
      </x:c>
      <x:c r="Y41" s="15" t="n">
        <x:v>769.5</x:v>
      </x:c>
      <x:c r="Z41" s="15" t="n">
        <x:v>57.79</x:v>
      </x:c>
      <x:c r="AA41" s="28" t="n">
        <x:v>711.71</x:v>
      </x:c>
      <x:c r="AB41" s="15" t="n">
        <x:v>18</x:v>
      </x:c>
      <x:c r="AC41" s="28" t="n">
        <x:v>167.4</x:v>
      </x:c>
      <x:c r="AD41" s="28" t="n">
        <x:v>544.31</x:v>
      </x:c>
      <x:c r="AE41" s="15" t="str">
        <x:v>FACTIBLE_CON_REGLAS_SINTETICAS</x:v>
      </x:c>
      <x:c r="AF41" s="15" t="str">
        <x:v>true</x:v>
      </x:c>
    </x:row>
    <x:row r="42">
      <x:c r="A42" s="15" t="str">
        <x:v>SYN-041</x:v>
      </x:c>
      <x:c r="B42" s="15" t="str">
        <x:v>Toldos</x:v>
      </x:c>
      <x:c r="C42" s="15" t="n">
        <x:v>10.04</x:v>
      </x:c>
      <x:c r="D42" s="15" t="n">
        <x:v>0</x:v>
      </x:c>
      <x:c r="E42" s="15" t="n">
        <x:v>0</x:v>
      </x:c>
      <x:c r="F42" s="15" t="n">
        <x:v>59</x:v>
      </x:c>
      <x:c r="G42" s="15" t="n">
        <x:v>85</x:v>
      </x:c>
      <x:c r="H42" s="15" t="n">
        <x:v>18</x:v>
      </x:c>
      <x:c r="I42" s="15" t="str">
        <x:v>NO_CONCRETADA</x:v>
      </x:c>
      <x:c r="J42" s="15" t="n">
        <x:v>0</x:v>
      </x:c>
      <x:c r="K42" s="15" t="str">
        <x:v>true</x:v>
      </x:c>
      <x:c r="L42" s="15" t="n">
        <x:v>7422.75</x:v>
      </x:c>
      <x:c r="M42" s="15" t="n">
        <x:v>4</x:v>
      </x:c>
      <x:c r="N42" s="15" t="n">
        <x:v>3</x:v>
      </x:c>
      <x:c r="O42" s="15" t="str">
        <x:v>NO_APLICA</x:v>
      </x:c>
      <x:c r="P42" s="15" t="str">
        <x:v>Tarflex DEMO</x:v>
      </x:c>
      <x:c r="Q42" s="15" t="str">
        <x:v>ESTANDAR</x:v>
      </x:c>
      <x:c r="R42" s="15" t="str">
        <x:v>m² simulado</x:v>
      </x:c>
      <x:c r="S42" s="15" t="n">
        <x:v>1.1</x:v>
      </x:c>
      <x:c r="T42" s="15" t="n">
        <x:v>13.2</x:v>
      </x:c>
      <x:c r="U42" s="15" t="n">
        <x:v>24</x:v>
      </x:c>
      <x:c r="V42" s="15" t="n">
        <x:v>0</x:v>
      </x:c>
      <x:c r="W42" s="15" t="str">
        <x:v>SUFICIENTE_EN_ESCENARIO</x:v>
      </x:c>
      <x:c r="X42" s="15" t="n">
        <x:v>112</x:v>
      </x:c>
      <x:c r="Y42" s="15" t="n">
        <x:v>1344</x:v>
      </x:c>
      <x:c r="Z42" s="15" t="n">
        <x:v>134.94</x:v>
      </x:c>
      <x:c r="AA42" s="28" t="n">
        <x:v>1209.06</x:v>
      </x:c>
      <x:c r="AB42" s="15" t="n">
        <x:v>23</x:v>
      </x:c>
      <x:c r="AC42" s="28" t="n">
        <x:v>303.6</x:v>
      </x:c>
      <x:c r="AD42" s="28" t="n">
        <x:v>905.46</x:v>
      </x:c>
      <x:c r="AE42" s="15" t="str">
        <x:v>REVISAR_DATOS</x:v>
      </x:c>
      <x:c r="AF42" s="15" t="str">
        <x:v>true</x:v>
      </x:c>
    </x:row>
    <x:row r="43">
      <x:c r="A43" s="15" t="str">
        <x:v>SYN-042</x:v>
      </x:c>
      <x:c r="B43" s="15" t="str">
        <x:v>Tapizado de moto</x:v>
      </x:c>
      <x:c r="C43" s="15" t="n">
        <x:v>11.43</x:v>
      </x:c>
      <x:c r="D43" s="15" t="n">
        <x:v>0</x:v>
      </x:c>
      <x:c r="E43" s="15" t="n">
        <x:v>0</x:v>
      </x:c>
      <x:c r="F43" s="15" t="n">
        <x:v>8</x:v>
      </x:c>
      <x:c r="G43" s="15" t="n">
        <x:v>22</x:v>
      </x:c>
      <x:c r="H43" s="15" t="n">
        <x:v>2</x:v>
      </x:c>
      <x:c r="I43" s="15" t="str">
        <x:v>NO_CONCRETADA</x:v>
      </x:c>
      <x:c r="J43" s="15" t="n">
        <x:v>0</x:v>
      </x:c>
      <x:c r="K43" s="15" t="str">
        <x:v>true</x:v>
      </x:c>
      <x:c r="L43" s="15" t="n">
        <x:v>1866.22</x:v>
      </x:c>
      <x:c r="M43" s="15" t="n">
        <x:v>3</x:v>
      </x:c>
      <x:c r="N43" s="15" t="n">
        <x:v>2</x:v>
      </x:c>
      <x:c r="O43" s="15" t="str">
        <x:v>NO_APLICA</x:v>
      </x:c>
      <x:c r="P43" s="15" t="str">
        <x:v>Oxford DEMO</x:v>
      </x:c>
      <x:c r="Q43" s="15" t="str">
        <x:v>NO_APLICA</x:v>
      </x:c>
      <x:c r="R43" s="15" t="str">
        <x:v>m² equivalente DEMO</x:v>
      </x:c>
      <x:c r="S43" s="15" t="n">
        <x:v>0.55</x:v>
      </x:c>
      <x:c r="T43" s="15" t="n">
        <x:v>3.3</x:v>
      </x:c>
      <x:c r="U43" s="15" t="n">
        <x:v>9</x:v>
      </x:c>
      <x:c r="V43" s="15" t="n">
        <x:v>0</x:v>
      </x:c>
      <x:c r="W43" s="15" t="str">
        <x:v>SUFICIENTE_EN_ESCENARIO</x:v>
      </x:c>
      <x:c r="X43" s="15" t="n">
        <x:v>155</x:v>
      </x:c>
      <x:c r="Y43" s="15" t="n">
        <x:v>930</x:v>
      </x:c>
      <x:c r="Z43" s="15" t="n">
        <x:v>106.3</x:v>
      </x:c>
      <x:c r="AA43" s="28" t="n">
        <x:v>823.7</x:v>
      </x:c>
      <x:c r="AB43" s="15" t="n">
        <x:v>38</x:v>
      </x:c>
      <x:c r="AC43" s="28" t="n">
        <x:v>125.4</x:v>
      </x:c>
      <x:c r="AD43" s="28" t="n">
        <x:v>698.3</x:v>
      </x:c>
      <x:c r="AE43" s="15" t="str">
        <x:v>REVISAR_DATOS</x:v>
      </x:c>
      <x:c r="AF43" s="15" t="str">
        <x:v>true</x:v>
      </x:c>
    </x:row>
    <x:row r="44">
      <x:c r="A44" s="15" t="str">
        <x:v>SYN-043</x:v>
      </x:c>
      <x:c r="B44" s="15" t="str">
        <x:v>Carpas</x:v>
      </x:c>
      <x:c r="C44" s="15" t="n">
        <x:v>5.25</x:v>
      </x:c>
      <x:c r="D44" s="15" t="n">
        <x:v>0</x:v>
      </x:c>
      <x:c r="E44" s="15" t="n">
        <x:v>0</x:v>
      </x:c>
      <x:c r="F44" s="15" t="n">
        <x:v>6</x:v>
      </x:c>
      <x:c r="G44" s="15" t="n">
        <x:v>41</x:v>
      </x:c>
      <x:c r="H44" s="15" t="n">
        <x:v>8</x:v>
      </x:c>
      <x:c r="I44" s="15" t="str">
        <x:v>CONCRETADA</x:v>
      </x:c>
      <x:c r="J44" s="15" t="n">
        <x:v>1</x:v>
      </x:c>
      <x:c r="K44" s="15" t="str">
        <x:v>true</x:v>
      </x:c>
      <x:c r="L44" s="15" t="n">
        <x:v>4352.66</x:v>
      </x:c>
      <x:c r="M44" s="15" t="n">
        <x:v>2</x:v>
      </x:c>
      <x:c r="N44" s="15" t="n">
        <x:v>2</x:v>
      </x:c>
      <x:c r="O44" s="15" t="str">
        <x:v>ABIERTA</x:v>
      </x:c>
      <x:c r="P44" s="15" t="str">
        <x:v>Lino pesado DEMO</x:v>
      </x:c>
      <x:c r="Q44" s="15" t="str">
        <x:v>PESADO</x:v>
      </x:c>
      <x:c r="R44" s="15" t="str">
        <x:v>m² simulado</x:v>
      </x:c>
      <x:c r="S44" s="15" t="n">
        <x:v>1.12</x:v>
      </x:c>
      <x:c r="T44" s="15" t="n">
        <x:v>4.48</x:v>
      </x:c>
      <x:c r="U44" s="15" t="n">
        <x:v>20</x:v>
      </x:c>
      <x:c r="V44" s="15" t="n">
        <x:v>0</x:v>
      </x:c>
      <x:c r="W44" s="15" t="str">
        <x:v>SUFICIENTE_EN_ESCENARIO</x:v>
      </x:c>
      <x:c r="X44" s="15" t="n">
        <x:v>125</x:v>
      </x:c>
      <x:c r="Y44" s="15" t="n">
        <x:v>500</x:v>
      </x:c>
      <x:c r="Z44" s="15" t="n">
        <x:v>26.25</x:v>
      </x:c>
      <x:c r="AA44" s="28" t="n">
        <x:v>473.75</x:v>
      </x:c>
      <x:c r="AB44" s="15" t="n">
        <x:v>29</x:v>
      </x:c>
      <x:c r="AC44" s="28" t="n">
        <x:v>129.92</x:v>
      </x:c>
      <x:c r="AD44" s="28" t="n">
        <x:v>343.83</x:v>
      </x:c>
      <x:c r="AE44" s="15" t="str">
        <x:v>REVISAR_DATOS</x:v>
      </x:c>
      <x:c r="AF44" s="15" t="str">
        <x:v>true</x:v>
      </x:c>
    </x:row>
    <x:row r="45">
      <x:c r="A45" s="15" t="str">
        <x:v>SYN-044</x:v>
      </x:c>
      <x:c r="B45" s="15" t="str">
        <x:v>Toldos</x:v>
      </x:c>
      <x:c r="C45" s="15" t="n">
        <x:v>15.07</x:v>
      </x:c>
      <x:c r="D45" s="15" t="n">
        <x:v>1</x:v>
      </x:c>
      <x:c r="E45" s="15" t="n">
        <x:v>1</x:v>
      </x:c>
      <x:c r="F45" s="15" t="n">
        <x:v>38</x:v>
      </x:c>
      <x:c r="G45" s="15" t="n">
        <x:v>3</x:v>
      </x:c>
      <x:c r="H45" s="15" t="n">
        <x:v>5</x:v>
      </x:c>
      <x:c r="I45" s="15" t="str">
        <x:v>NO_CONCRETADA</x:v>
      </x:c>
      <x:c r="J45" s="15" t="n">
        <x:v>0</x:v>
      </x:c>
      <x:c r="K45" s="15" t="str">
        <x:v>true</x:v>
      </x:c>
      <x:c r="L45" s="15" t="n">
        <x:v>7302.73</x:v>
      </x:c>
      <x:c r="M45" s="15" t="n">
        <x:v>2</x:v>
      </x:c>
      <x:c r="N45" s="15" t="n">
        <x:v>2</x:v>
      </x:c>
      <x:c r="O45" s="15" t="str">
        <x:v>NO_APLICA</x:v>
      </x:c>
      <x:c r="P45" s="15" t="str">
        <x:v>Tarflex DEMO</x:v>
      </x:c>
      <x:c r="Q45" s="15" t="str">
        <x:v>ESTANDAR</x:v>
      </x:c>
      <x:c r="R45" s="15" t="str">
        <x:v>m² simulado</x:v>
      </x:c>
      <x:c r="S45" s="15" t="n">
        <x:v>1.1</x:v>
      </x:c>
      <x:c r="T45" s="15" t="n">
        <x:v>4.4</x:v>
      </x:c>
      <x:c r="U45" s="15" t="n">
        <x:v>24</x:v>
      </x:c>
      <x:c r="V45" s="15" t="n">
        <x:v>0</x:v>
      </x:c>
      <x:c r="W45" s="15" t="str">
        <x:v>SUFICIENTE_EN_ESCENARIO</x:v>
      </x:c>
      <x:c r="X45" s="15" t="n">
        <x:v>112</x:v>
      </x:c>
      <x:c r="Y45" s="15" t="n">
        <x:v>448</x:v>
      </x:c>
      <x:c r="Z45" s="15" t="n">
        <x:v>67.51</x:v>
      </x:c>
      <x:c r="AA45" s="28" t="n">
        <x:v>380.49</x:v>
      </x:c>
      <x:c r="AB45" s="15" t="n">
        <x:v>23</x:v>
      </x:c>
      <x:c r="AC45" s="28" t="n">
        <x:v>101.2</x:v>
      </x:c>
      <x:c r="AD45" s="28" t="n">
        <x:v>279.29</x:v>
      </x:c>
      <x:c r="AE45" s="15" t="str">
        <x:v>FACTIBLE_CON_REGLAS_SINTETICAS</x:v>
      </x:c>
      <x:c r="AF45" s="15" t="str">
        <x:v>true</x:v>
      </x:c>
    </x:row>
    <x:row r="46">
      <x:c r="A46" s="15" t="str">
        <x:v>SYN-045</x:v>
      </x:c>
      <x:c r="B46" s="15" t="str">
        <x:v>Tapizado de moto</x:v>
      </x:c>
      <x:c r="C46" s="15" t="n">
        <x:v>7.07</x:v>
      </x:c>
      <x:c r="D46" s="15" t="n">
        <x:v>1</x:v>
      </x:c>
      <x:c r="E46" s="15" t="n">
        <x:v>1</x:v>
      </x:c>
      <x:c r="F46" s="15" t="n">
        <x:v>68</x:v>
      </x:c>
      <x:c r="G46" s="15" t="n">
        <x:v>67</x:v>
      </x:c>
      <x:c r="H46" s="15" t="n">
        <x:v>19</x:v>
      </x:c>
      <x:c r="I46" s="15" t="str">
        <x:v>NO_CONCRETADA</x:v>
      </x:c>
      <x:c r="J46" s="15" t="n">
        <x:v>0</x:v>
      </x:c>
      <x:c r="K46" s="15" t="str">
        <x:v>true</x:v>
      </x:c>
      <x:c r="L46" s="15" t="n">
        <x:v>3411.71</x:v>
      </x:c>
      <x:c r="M46" s="15" t="n">
        <x:v>3</x:v>
      </x:c>
      <x:c r="N46" s="15" t="n">
        <x:v>2</x:v>
      </x:c>
      <x:c r="O46" s="15" t="str">
        <x:v>NO_APLICA</x:v>
      </x:c>
      <x:c r="P46" s="15" t="str">
        <x:v>Oxford DEMO</x:v>
      </x:c>
      <x:c r="Q46" s="15" t="str">
        <x:v>NO_APLICA</x:v>
      </x:c>
      <x:c r="R46" s="15" t="str">
        <x:v>m² equivalente DEMO</x:v>
      </x:c>
      <x:c r="S46" s="15" t="n">
        <x:v>0.55</x:v>
      </x:c>
      <x:c r="T46" s="15" t="n">
        <x:v>3.3</x:v>
      </x:c>
      <x:c r="U46" s="15" t="n">
        <x:v>9</x:v>
      </x:c>
      <x:c r="V46" s="15" t="n">
        <x:v>0</x:v>
      </x:c>
      <x:c r="W46" s="15" t="str">
        <x:v>SUFICIENTE_EN_ESCENARIO</x:v>
      </x:c>
      <x:c r="X46" s="15" t="n">
        <x:v>155</x:v>
      </x:c>
      <x:c r="Y46" s="15" t="n">
        <x:v>930</x:v>
      </x:c>
      <x:c r="Z46" s="15" t="n">
        <x:v>65.75</x:v>
      </x:c>
      <x:c r="AA46" s="28" t="n">
        <x:v>864.25</x:v>
      </x:c>
      <x:c r="AB46" s="15" t="n">
        <x:v>38</x:v>
      </x:c>
      <x:c r="AC46" s="28" t="n">
        <x:v>125.4</x:v>
      </x:c>
      <x:c r="AD46" s="28" t="n">
        <x:v>738.85</x:v>
      </x:c>
      <x:c r="AE46" s="15" t="str">
        <x:v>FACTIBLE_CON_REGLAS_SINTETICAS</x:v>
      </x:c>
      <x:c r="AF46" s="15" t="str">
        <x:v>true</x:v>
      </x:c>
    </x:row>
    <x:row r="47">
      <x:c r="A47" s="15" t="str">
        <x:v>SYN-046</x:v>
      </x:c>
      <x:c r="B47" s="15" t="str">
        <x:v>Carpas</x:v>
      </x:c>
      <x:c r="C47" s="15" t="n">
        <x:v>7.27</x:v>
      </x:c>
      <x:c r="D47" s="15" t="n">
        <x:v>1</x:v>
      </x:c>
      <x:c r="E47" s="15" t="n">
        <x:v>1</x:v>
      </x:c>
      <x:c r="F47" s="15" t="n">
        <x:v>57</x:v>
      </x:c>
      <x:c r="G47" s="15" t="n">
        <x:v>83</x:v>
      </x:c>
      <x:c r="H47" s="15" t="n">
        <x:v>1</x:v>
      </x:c>
      <x:c r="I47" s="15" t="str">
        <x:v>CONCRETADA</x:v>
      </x:c>
      <x:c r="J47" s="15" t="n">
        <x:v>1</x:v>
      </x:c>
      <x:c r="K47" s="15" t="str">
        <x:v>true</x:v>
      </x:c>
      <x:c r="L47" s="15" t="n">
        <x:v>583.61</x:v>
      </x:c>
      <x:c r="M47" s="15" t="n">
        <x:v>3</x:v>
      </x:c>
      <x:c r="N47" s="15" t="n">
        <x:v>2</x:v>
      </x:c>
      <x:c r="O47" s="15" t="str">
        <x:v>CERRADA</x:v>
      </x:c>
      <x:c r="P47" s="15" t="str">
        <x:v>Lino liviano DEMO</x:v>
      </x:c>
      <x:c r="Q47" s="15" t="str">
        <x:v>LIVIANO</x:v>
      </x:c>
      <x:c r="R47" s="15" t="str">
        <x:v>m² simulado</x:v>
      </x:c>
      <x:c r="S47" s="15" t="n">
        <x:v>1.55</x:v>
      </x:c>
      <x:c r="T47" s="15" t="n">
        <x:v>9.3</x:v>
      </x:c>
      <x:c r="U47" s="15" t="n">
        <x:v>28</x:v>
      </x:c>
      <x:c r="V47" s="15" t="n">
        <x:v>0</x:v>
      </x:c>
      <x:c r="W47" s="15" t="str">
        <x:v>SUFICIENTE_EN_ESCENARIO</x:v>
      </x:c>
      <x:c r="X47" s="15" t="n">
        <x:v>108</x:v>
      </x:c>
      <x:c r="Y47" s="15" t="n">
        <x:v>874.8</x:v>
      </x:c>
      <x:c r="Z47" s="15" t="n">
        <x:v>63.6</x:v>
      </x:c>
      <x:c r="AA47" s="28" t="n">
        <x:v>811.2</x:v>
      </x:c>
      <x:c r="AB47" s="15" t="n">
        <x:v>22</x:v>
      </x:c>
      <x:c r="AC47" s="28" t="n">
        <x:v>204.6</x:v>
      </x:c>
      <x:c r="AD47" s="28" t="n">
        <x:v>606.6</x:v>
      </x:c>
      <x:c r="AE47" s="15" t="str">
        <x:v>FACTIBLE_CON_REGLAS_SINTETICAS</x:v>
      </x:c>
      <x:c r="AF47" s="15" t="str">
        <x:v>true</x:v>
      </x:c>
    </x:row>
    <x:row r="48">
      <x:c r="A48" s="15" t="str">
        <x:v>SYN-047</x:v>
      </x:c>
      <x:c r="B48" s="15" t="str">
        <x:v>Toldos</x:v>
      </x:c>
      <x:c r="C48" s="15" t="n">
        <x:v>10.6</x:v>
      </x:c>
      <x:c r="D48" s="15" t="n">
        <x:v>0</x:v>
      </x:c>
      <x:c r="E48" s="15" t="n">
        <x:v>0</x:v>
      </x:c>
      <x:c r="F48" s="15" t="n">
        <x:v>46</x:v>
      </x:c>
      <x:c r="G48" s="15" t="n">
        <x:v>74</x:v>
      </x:c>
      <x:c r="H48" s="15" t="n">
        <x:v>20</x:v>
      </x:c>
      <x:c r="I48" s="15" t="str">
        <x:v>CONCRETADA</x:v>
      </x:c>
      <x:c r="J48" s="15" t="n">
        <x:v>1</x:v>
      </x:c>
      <x:c r="K48" s="15" t="str">
        <x:v>true</x:v>
      </x:c>
      <x:c r="L48" s="15" t="n">
        <x:v>2233.96</x:v>
      </x:c>
      <x:c r="M48" s="15" t="n">
        <x:v>3</x:v>
      </x:c>
      <x:c r="N48" s="15" t="n">
        <x:v>2</x:v>
      </x:c>
      <x:c r="O48" s="15" t="str">
        <x:v>NO_APLICA</x:v>
      </x:c>
      <x:c r="P48" s="15" t="str">
        <x:v>Tarflex DEMO</x:v>
      </x:c>
      <x:c r="Q48" s="15" t="str">
        <x:v>ESTANDAR</x:v>
      </x:c>
      <x:c r="R48" s="15" t="str">
        <x:v>m² simulado</x:v>
      </x:c>
      <x:c r="S48" s="15" t="n">
        <x:v>1.1</x:v>
      </x:c>
      <x:c r="T48" s="15" t="n">
        <x:v>6.6</x:v>
      </x:c>
      <x:c r="U48" s="15" t="n">
        <x:v>24</x:v>
      </x:c>
      <x:c r="V48" s="15" t="n">
        <x:v>0</x:v>
      </x:c>
      <x:c r="W48" s="15" t="str">
        <x:v>SUFICIENTE_EN_ESCENARIO</x:v>
      </x:c>
      <x:c r="X48" s="15" t="n">
        <x:v>112</x:v>
      </x:c>
      <x:c r="Y48" s="15" t="n">
        <x:v>672</x:v>
      </x:c>
      <x:c r="Z48" s="15" t="n">
        <x:v>71.23</x:v>
      </x:c>
      <x:c r="AA48" s="28" t="n">
        <x:v>600.77</x:v>
      </x:c>
      <x:c r="AB48" s="15" t="n">
        <x:v>23</x:v>
      </x:c>
      <x:c r="AC48" s="28" t="n">
        <x:v>151.8</x:v>
      </x:c>
      <x:c r="AD48" s="28" t="n">
        <x:v>448.97</x:v>
      </x:c>
      <x:c r="AE48" s="15" t="str">
        <x:v>REVISAR_DATOS</x:v>
      </x:c>
      <x:c r="AF48" s="15" t="str">
        <x:v>true</x:v>
      </x:c>
    </x:row>
    <x:row r="49">
      <x:c r="A49" s="15" t="str">
        <x:v>SYN-048</x:v>
      </x:c>
      <x:c r="B49" s="15" t="str">
        <x:v>Tapizado de moto</x:v>
      </x:c>
      <x:c r="C49" s="15" t="n">
        <x:v>1.64</x:v>
      </x:c>
      <x:c r="D49" s="15" t="n">
        <x:v>0</x:v>
      </x:c>
      <x:c r="E49" s="15" t="n">
        <x:v>0</x:v>
      </x:c>
      <x:c r="F49" s="15" t="n">
        <x:v>48</x:v>
      </x:c>
      <x:c r="G49" s="15" t="n">
        <x:v>32</x:v>
      </x:c>
      <x:c r="H49" s="15" t="n">
        <x:v>5</x:v>
      </x:c>
      <x:c r="I49" s="15" t="str">
        <x:v>NO_CONCRETADA</x:v>
      </x:c>
      <x:c r="J49" s="15" t="n">
        <x:v>0</x:v>
      </x:c>
      <x:c r="K49" s="15" t="str">
        <x:v>true</x:v>
      </x:c>
      <x:c r="L49" s="15" t="n">
        <x:v>6011.24</x:v>
      </x:c>
      <x:c r="M49" s="15" t="n">
        <x:v>3</x:v>
      </x:c>
      <x:c r="N49" s="15" t="n">
        <x:v>2</x:v>
      </x:c>
      <x:c r="O49" s="15" t="str">
        <x:v>NO_APLICA</x:v>
      </x:c>
      <x:c r="P49" s="15" t="str">
        <x:v>Oxford DEMO</x:v>
      </x:c>
      <x:c r="Q49" s="15" t="str">
        <x:v>NO_APLICA</x:v>
      </x:c>
      <x:c r="R49" s="15" t="str">
        <x:v>m² equivalente DEMO</x:v>
      </x:c>
      <x:c r="S49" s="15" t="n">
        <x:v>0.55</x:v>
      </x:c>
      <x:c r="T49" s="15" t="n">
        <x:v>3.3</x:v>
      </x:c>
      <x:c r="U49" s="15" t="n">
        <x:v>9</x:v>
      </x:c>
      <x:c r="V49" s="15" t="n">
        <x:v>0</x:v>
      </x:c>
      <x:c r="W49" s="15" t="str">
        <x:v>SUFICIENTE_EN_ESCENARIO</x:v>
      </x:c>
      <x:c r="X49" s="15" t="n">
        <x:v>155</x:v>
      </x:c>
      <x:c r="Y49" s="15" t="n">
        <x:v>930</x:v>
      </x:c>
      <x:c r="Z49" s="15" t="n">
        <x:v>15.25</x:v>
      </x:c>
      <x:c r="AA49" s="28" t="n">
        <x:v>914.75</x:v>
      </x:c>
      <x:c r="AB49" s="15" t="n">
        <x:v>38</x:v>
      </x:c>
      <x:c r="AC49" s="28" t="n">
        <x:v>125.4</x:v>
      </x:c>
      <x:c r="AD49" s="28" t="n">
        <x:v>789.35</x:v>
      </x:c>
      <x:c r="AE49" s="15" t="str">
        <x:v>REVISAR_DATOS</x:v>
      </x:c>
      <x:c r="AF49" s="15" t="str">
        <x:v>true</x:v>
      </x:c>
    </x:row>
    <x:row r="50">
      <x:c r="A50" s="15" t="str">
        <x:v>SYN-049</x:v>
      </x:c>
      <x:c r="B50" s="15" t="str">
        <x:v>Carpas</x:v>
      </x:c>
      <x:c r="C50" s="15" t="n">
        <x:v>8.64</x:v>
      </x:c>
      <x:c r="D50" s="15" t="n">
        <x:v>1</x:v>
      </x:c>
      <x:c r="E50" s="15" t="n">
        <x:v>1</x:v>
      </x:c>
      <x:c r="F50" s="15" t="n">
        <x:v>30</x:v>
      </x:c>
      <x:c r="G50" s="15" t="n">
        <x:v>3</x:v>
      </x:c>
      <x:c r="H50" s="15" t="n">
        <x:v>3</x:v>
      </x:c>
      <x:c r="I50" s="15" t="str">
        <x:v>NO_CONCRETADA</x:v>
      </x:c>
      <x:c r="J50" s="15" t="n">
        <x:v>0</x:v>
      </x:c>
      <x:c r="K50" s="15" t="str">
        <x:v>true</x:v>
      </x:c>
      <x:c r="L50" s="15" t="n">
        <x:v>4696.95</x:v>
      </x:c>
      <x:c r="M50" s="15" t="n">
        <x:v>6</x:v>
      </x:c>
      <x:c r="N50" s="15" t="n">
        <x:v>4</x:v>
      </x:c>
      <x:c r="O50" s="15" t="str">
        <x:v>ABIERTA</x:v>
      </x:c>
      <x:c r="P50" s="15" t="str">
        <x:v>Lino pesado DEMO</x:v>
      </x:c>
      <x:c r="Q50" s="15" t="str">
        <x:v>PESADO</x:v>
      </x:c>
      <x:c r="R50" s="15" t="str">
        <x:v>m² simulado</x:v>
      </x:c>
      <x:c r="S50" s="15" t="n">
        <x:v>1.12</x:v>
      </x:c>
      <x:c r="T50" s="15" t="n">
        <x:v>26.88</x:v>
      </x:c>
      <x:c r="U50" s="15" t="n">
        <x:v>20</x:v>
      </x:c>
      <x:c r="V50" s="15" t="n">
        <x:v>6.88</x:v>
      </x:c>
      <x:c r="W50" s="15" t="str">
        <x:v>FALTANTE_EN_ESCENARIO</x:v>
      </x:c>
      <x:c r="X50" s="15" t="n">
        <x:v>125</x:v>
      </x:c>
      <x:c r="Y50" s="15" t="n">
        <x:v>3000</x:v>
      </x:c>
      <x:c r="Z50" s="15" t="n">
        <x:v>259.2</x:v>
      </x:c>
      <x:c r="AA50" s="28" t="n">
        <x:v>2740.8</x:v>
      </x:c>
      <x:c r="AB50" s="15" t="n">
        <x:v>29</x:v>
      </x:c>
      <x:c r="AC50" s="28" t="n">
        <x:v>779.52</x:v>
      </x:c>
      <x:c r="AD50" s="28" t="n">
        <x:v>1961.28</x:v>
      </x:c>
      <x:c r="AE50" s="15" t="str">
        <x:v>FALTA_STOCK</x:v>
      </x:c>
      <x:c r="AF50" s="15" t="str">
        <x:v>true</x:v>
      </x:c>
    </x:row>
    <x:row r="51">
      <x:c r="A51" s="15" t="str">
        <x:v>SYN-050</x:v>
      </x:c>
      <x:c r="B51" s="15" t="str">
        <x:v>Toldos</x:v>
      </x:c>
      <x:c r="C51" s="15" t="n">
        <x:v>9.42</x:v>
      </x:c>
      <x:c r="D51" s="15" t="n">
        <x:v>0</x:v>
      </x:c>
      <x:c r="E51" s="15" t="n">
        <x:v>0</x:v>
      </x:c>
      <x:c r="F51" s="15" t="n">
        <x:v>19</x:v>
      </x:c>
      <x:c r="G51" s="15" t="n">
        <x:v>25</x:v>
      </x:c>
      <x:c r="H51" s="15" t="n">
        <x:v>13</x:v>
      </x:c>
      <x:c r="I51" s="15" t="str">
        <x:v>CONCRETADA</x:v>
      </x:c>
      <x:c r="J51" s="15" t="n">
        <x:v>1</x:v>
      </x:c>
      <x:c r="K51" s="15" t="str">
        <x:v>true</x:v>
      </x:c>
      <x:c r="L51" s="15" t="n">
        <x:v>3796.97</x:v>
      </x:c>
      <x:c r="M51" s="15" t="n">
        <x:v>6</x:v>
      </x:c>
      <x:c r="N51" s="15" t="n">
        <x:v>4</x:v>
      </x:c>
      <x:c r="O51" s="15" t="str">
        <x:v>NO_APLICA</x:v>
      </x:c>
      <x:c r="P51" s="15" t="str">
        <x:v>Lona orillo rojo DEMO</x:v>
      </x:c>
      <x:c r="Q51" s="15" t="str">
        <x:v>ESTANDAR</x:v>
      </x:c>
      <x:c r="R51" s="15" t="str">
        <x:v>m² simulado</x:v>
      </x:c>
      <x:c r="S51" s="15" t="n">
        <x:v>1.1</x:v>
      </x:c>
      <x:c r="T51" s="15" t="n">
        <x:v>26.4</x:v>
      </x:c>
      <x:c r="U51" s="15" t="n">
        <x:v>18</x:v>
      </x:c>
      <x:c r="V51" s="15" t="n">
        <x:v>8.4</x:v>
      </x:c>
      <x:c r="W51" s="15" t="str">
        <x:v>FALTANTE_EN_ESCENARIO</x:v>
      </x:c>
      <x:c r="X51" s="15" t="n">
        <x:v>122</x:v>
      </x:c>
      <x:c r="Y51" s="15" t="n">
        <x:v>2928</x:v>
      </x:c>
      <x:c r="Z51" s="15" t="n">
        <x:v>275.82</x:v>
      </x:c>
      <x:c r="AA51" s="28" t="n">
        <x:v>2652.18</x:v>
      </x:c>
      <x:c r="AB51" s="15" t="n">
        <x:v>26</x:v>
      </x:c>
      <x:c r="AC51" s="28" t="n">
        <x:v>686.4</x:v>
      </x:c>
      <x:c r="AD51" s="28" t="n">
        <x:v>1965.78</x:v>
      </x:c>
      <x:c r="AE51" s="15" t="str">
        <x:v>REVISAR_DATOS</x:v>
      </x:c>
      <x:c r="AF51" s="15" t="str">
        <x:v>true</x:v>
      </x:c>
    </x:row>
    <x:row r="52">
      <x:c r="A52" s="15" t="str">
        <x:v>SYN-051</x:v>
      </x:c>
      <x:c r="B52" s="15" t="str">
        <x:v>Tapizado de moto</x:v>
      </x:c>
      <x:c r="C52" s="15" t="n">
        <x:v>6.73</x:v>
      </x:c>
      <x:c r="D52" s="15" t="n">
        <x:v>1</x:v>
      </x:c>
      <x:c r="E52" s="15" t="n">
        <x:v>1</x:v>
      </x:c>
      <x:c r="F52" s="15" t="n">
        <x:v>15</x:v>
      </x:c>
      <x:c r="G52" s="15" t="n">
        <x:v>34</x:v>
      </x:c>
      <x:c r="H52" s="15" t="n">
        <x:v>11</x:v>
      </x:c>
      <x:c r="I52" s="15" t="str">
        <x:v>CONCRETADA</x:v>
      </x:c>
      <x:c r="J52" s="15" t="n">
        <x:v>1</x:v>
      </x:c>
      <x:c r="K52" s="15" t="str">
        <x:v>true</x:v>
      </x:c>
      <x:c r="L52" s="15" t="n">
        <x:v>168.35</x:v>
      </x:c>
      <x:c r="M52" s="15" t="n">
        <x:v>3</x:v>
      </x:c>
      <x:c r="N52" s="15" t="n">
        <x:v>3</x:v>
      </x:c>
      <x:c r="O52" s="15" t="str">
        <x:v>NO_APLICA</x:v>
      </x:c>
      <x:c r="P52" s="15" t="str">
        <x:v>Oxford DEMO</x:v>
      </x:c>
      <x:c r="Q52" s="15" t="str">
        <x:v>NO_APLICA</x:v>
      </x:c>
      <x:c r="R52" s="15" t="str">
        <x:v>m² equivalente DEMO</x:v>
      </x:c>
      <x:c r="S52" s="15" t="n">
        <x:v>0.55</x:v>
      </x:c>
      <x:c r="T52" s="15" t="n">
        <x:v>4.95</x:v>
      </x:c>
      <x:c r="U52" s="15" t="n">
        <x:v>9</x:v>
      </x:c>
      <x:c r="V52" s="15" t="n">
        <x:v>0</x:v>
      </x:c>
      <x:c r="W52" s="15" t="str">
        <x:v>SUFICIENTE_EN_ESCENARIO</x:v>
      </x:c>
      <x:c r="X52" s="15" t="n">
        <x:v>155</x:v>
      </x:c>
      <x:c r="Y52" s="15" t="n">
        <x:v>1395</x:v>
      </x:c>
      <x:c r="Z52" s="15" t="n">
        <x:v>93.88</x:v>
      </x:c>
      <x:c r="AA52" s="28" t="n">
        <x:v>1301.12</x:v>
      </x:c>
      <x:c r="AB52" s="15" t="n">
        <x:v>38</x:v>
      </x:c>
      <x:c r="AC52" s="28" t="n">
        <x:v>188.1</x:v>
      </x:c>
      <x:c r="AD52" s="28" t="n">
        <x:v>1113.02</x:v>
      </x:c>
      <x:c r="AE52" s="15" t="str">
        <x:v>FACTIBLE_CON_REGLAS_SINTETICAS</x:v>
      </x:c>
      <x:c r="AF52" s="15" t="str">
        <x:v>true</x:v>
      </x:c>
    </x:row>
    <x:row r="53">
      <x:c r="A53" s="15" t="str">
        <x:v>SYN-052</x:v>
      </x:c>
      <x:c r="B53" s="15" t="str">
        <x:v>Carpas</x:v>
      </x:c>
      <x:c r="C53" s="15" t="n">
        <x:v>5.53</x:v>
      </x:c>
      <x:c r="D53" s="15" t="n">
        <x:v>1</x:v>
      </x:c>
      <x:c r="E53" s="15" t="n">
        <x:v>1</x:v>
      </x:c>
      <x:c r="F53" s="15" t="n">
        <x:v>49</x:v>
      </x:c>
      <x:c r="G53" s="15" t="n">
        <x:v>84</x:v>
      </x:c>
      <x:c r="H53" s="15" t="n">
        <x:v>18</x:v>
      </x:c>
      <x:c r="I53" s="15" t="str">
        <x:v>NO_CONCRETADA</x:v>
      </x:c>
      <x:c r="J53" s="15" t="n">
        <x:v>0</x:v>
      </x:c>
      <x:c r="K53" s="15" t="str">
        <x:v>true</x:v>
      </x:c>
      <x:c r="L53" s="15" t="n">
        <x:v>5464.35</x:v>
      </x:c>
      <x:c r="M53" s="15" t="n">
        <x:v>4</x:v>
      </x:c>
      <x:c r="N53" s="15" t="n">
        <x:v>3</x:v>
      </x:c>
      <x:c r="O53" s="15" t="str">
        <x:v>ABIERTA</x:v>
      </x:c>
      <x:c r="P53" s="15" t="str">
        <x:v>Lino liviano DEMO</x:v>
      </x:c>
      <x:c r="Q53" s="15" t="str">
        <x:v>LIVIANO</x:v>
      </x:c>
      <x:c r="R53" s="15" t="str">
        <x:v>m² simulado</x:v>
      </x:c>
      <x:c r="S53" s="15" t="n">
        <x:v>1.12</x:v>
      </x:c>
      <x:c r="T53" s="15" t="n">
        <x:v>13.44</x:v>
      </x:c>
      <x:c r="U53" s="15" t="n">
        <x:v>28</x:v>
      </x:c>
      <x:c r="V53" s="15" t="n">
        <x:v>0</x:v>
      </x:c>
      <x:c r="W53" s="15" t="str">
        <x:v>SUFICIENTE_EN_ESCENARIO</x:v>
      </x:c>
      <x:c r="X53" s="15" t="n">
        <x:v>108</x:v>
      </x:c>
      <x:c r="Y53" s="15" t="n">
        <x:v>1296</x:v>
      </x:c>
      <x:c r="Z53" s="15" t="n">
        <x:v>71.67</x:v>
      </x:c>
      <x:c r="AA53" s="28" t="n">
        <x:v>1224.33</x:v>
      </x:c>
      <x:c r="AB53" s="15" t="n">
        <x:v>22</x:v>
      </x:c>
      <x:c r="AC53" s="28" t="n">
        <x:v>295.68</x:v>
      </x:c>
      <x:c r="AD53" s="28" t="n">
        <x:v>928.65</x:v>
      </x:c>
      <x:c r="AE53" s="15" t="str">
        <x:v>FACTIBLE_CON_REGLAS_SINTETICAS</x:v>
      </x:c>
      <x:c r="AF53" s="15" t="str">
        <x:v>true</x:v>
      </x:c>
    </x:row>
    <x:row r="54">
      <x:c r="A54" s="15" t="str">
        <x:v>SYN-053</x:v>
      </x:c>
      <x:c r="B54" s="15" t="str">
        <x:v>Toldos</x:v>
      </x:c>
      <x:c r="C54" s="15" t="n">
        <x:v>1.18</x:v>
      </x:c>
      <x:c r="D54" s="15" t="n">
        <x:v>1</x:v>
      </x:c>
      <x:c r="E54" s="15" t="n">
        <x:v>0</x:v>
      </x:c>
      <x:c r="F54" s="15" t="n">
        <x:v>31</x:v>
      </x:c>
      <x:c r="G54" s="15" t="n">
        <x:v>71</x:v>
      </x:c>
      <x:c r="H54" s="15" t="n">
        <x:v>0</x:v>
      </x:c>
      <x:c r="I54" s="15" t="str">
        <x:v>NO_CONCRETADA</x:v>
      </x:c>
      <x:c r="J54" s="15" t="n">
        <x:v>0</x:v>
      </x:c>
      <x:c r="K54" s="15" t="str">
        <x:v>true</x:v>
      </x:c>
      <x:c r="L54" s="15" t="n">
        <x:v>3207.43</x:v>
      </x:c>
      <x:c r="M54" s="15" t="n">
        <x:v>3</x:v>
      </x:c>
      <x:c r="N54" s="15" t="n">
        <x:v>3</x:v>
      </x:c>
      <x:c r="O54" s="15" t="str">
        <x:v>NO_APLICA</x:v>
      </x:c>
      <x:c r="P54" s="15" t="str">
        <x:v>Lona orillo rojo DEMO</x:v>
      </x:c>
      <x:c r="Q54" s="15" t="str">
        <x:v>ESTANDAR</x:v>
      </x:c>
      <x:c r="R54" s="15" t="str">
        <x:v>m² simulado</x:v>
      </x:c>
      <x:c r="S54" s="15" t="n">
        <x:v>1.1</x:v>
      </x:c>
      <x:c r="T54" s="15" t="n">
        <x:v>9.9</x:v>
      </x:c>
      <x:c r="U54" s="15" t="n">
        <x:v>18</x:v>
      </x:c>
      <x:c r="V54" s="15" t="n">
        <x:v>0</x:v>
      </x:c>
      <x:c r="W54" s="15" t="str">
        <x:v>SUFICIENTE_EN_ESCENARIO</x:v>
      </x:c>
      <x:c r="X54" s="15" t="n">
        <x:v>122</x:v>
      </x:c>
      <x:c r="Y54" s="15" t="n">
        <x:v>1098</x:v>
      </x:c>
      <x:c r="Z54" s="15" t="n">
        <x:v>12.96</x:v>
      </x:c>
      <x:c r="AA54" s="28" t="n">
        <x:v>1085.04</x:v>
      </x:c>
      <x:c r="AB54" s="15" t="n">
        <x:v>26</x:v>
      </x:c>
      <x:c r="AC54" s="28" t="n">
        <x:v>257.4</x:v>
      </x:c>
      <x:c r="AD54" s="28" t="n">
        <x:v>827.64</x:v>
      </x:c>
      <x:c r="AE54" s="15" t="str">
        <x:v>FACTIBLE_CON_REGLAS_SINTETICAS</x:v>
      </x:c>
      <x:c r="AF54" s="15" t="str">
        <x:v>true</x:v>
      </x:c>
    </x:row>
    <x:row r="55">
      <x:c r="A55" s="15" t="str">
        <x:v>SYN-054</x:v>
      </x:c>
      <x:c r="B55" s="15" t="str">
        <x:v>Tapizado de moto</x:v>
      </x:c>
      <x:c r="C55" s="15" t="n">
        <x:v>13.17</x:v>
      </x:c>
      <x:c r="D55" s="15" t="n">
        <x:v>1</x:v>
      </x:c>
      <x:c r="E55" s="15" t="n">
        <x:v>1</x:v>
      </x:c>
      <x:c r="F55" s="15" t="n">
        <x:v>43</x:v>
      </x:c>
      <x:c r="G55" s="15" t="n">
        <x:v>79</x:v>
      </x:c>
      <x:c r="H55" s="15" t="n">
        <x:v>3</x:v>
      </x:c>
      <x:c r="I55" s="15" t="str">
        <x:v>CONCRETADA</x:v>
      </x:c>
      <x:c r="J55" s="15" t="n">
        <x:v>1</x:v>
      </x:c>
      <x:c r="K55" s="15" t="str">
        <x:v>true</x:v>
      </x:c>
      <x:c r="L55" s="15" t="n">
        <x:v>5393.02</x:v>
      </x:c>
      <x:c r="M55" s="15" t="n">
        <x:v>2</x:v>
      </x:c>
      <x:c r="N55" s="15" t="n">
        <x:v>2</x:v>
      </x:c>
      <x:c r="O55" s="15" t="str">
        <x:v>NO_APLICA</x:v>
      </x:c>
      <x:c r="P55" s="15" t="str">
        <x:v>Oxford DEMO</x:v>
      </x:c>
      <x:c r="Q55" s="15" t="str">
        <x:v>NO_APLICA</x:v>
      </x:c>
      <x:c r="R55" s="15" t="str">
        <x:v>m² equivalente DEMO</x:v>
      </x:c>
      <x:c r="S55" s="15" t="n">
        <x:v>0.55</x:v>
      </x:c>
      <x:c r="T55" s="15" t="n">
        <x:v>2.2</x:v>
      </x:c>
      <x:c r="U55" s="15" t="n">
        <x:v>9</x:v>
      </x:c>
      <x:c r="V55" s="15" t="n">
        <x:v>0</x:v>
      </x:c>
      <x:c r="W55" s="15" t="str">
        <x:v>SUFICIENTE_EN_ESCENARIO</x:v>
      </x:c>
      <x:c r="X55" s="15" t="n">
        <x:v>155</x:v>
      </x:c>
      <x:c r="Y55" s="15" t="n">
        <x:v>620</x:v>
      </x:c>
      <x:c r="Z55" s="15" t="n">
        <x:v>81.65</x:v>
      </x:c>
      <x:c r="AA55" s="28" t="n">
        <x:v>538.35</x:v>
      </x:c>
      <x:c r="AB55" s="15" t="n">
        <x:v>38</x:v>
      </x:c>
      <x:c r="AC55" s="28" t="n">
        <x:v>83.6</x:v>
      </x:c>
      <x:c r="AD55" s="28" t="n">
        <x:v>454.75</x:v>
      </x:c>
      <x:c r="AE55" s="15" t="str">
        <x:v>FACTIBLE_CON_REGLAS_SINTETICAS</x:v>
      </x:c>
      <x:c r="AF55" s="15" t="str">
        <x:v>true</x:v>
      </x:c>
    </x:row>
    <x:row r="56">
      <x:c r="A56" s="15" t="str">
        <x:v>SYN-055</x:v>
      </x:c>
      <x:c r="B56" s="15" t="str">
        <x:v>Carpas</x:v>
      </x:c>
      <x:c r="C56" s="15" t="n">
        <x:v>10.04</x:v>
      </x:c>
      <x:c r="D56" s="15" t="n">
        <x:v>1</x:v>
      </x:c>
      <x:c r="E56" s="15" t="n">
        <x:v>1</x:v>
      </x:c>
      <x:c r="F56" s="15" t="n">
        <x:v>57</x:v>
      </x:c>
      <x:c r="G56" s="15" t="n">
        <x:v>65</x:v>
      </x:c>
      <x:c r="H56" s="15" t="n">
        <x:v>18</x:v>
      </x:c>
      <x:c r="I56" s="15" t="str">
        <x:v>CONCRETADA</x:v>
      </x:c>
      <x:c r="J56" s="15" t="n">
        <x:v>1</x:v>
      </x:c>
      <x:c r="K56" s="15" t="str">
        <x:v>true</x:v>
      </x:c>
      <x:c r="L56" s="15" t="n">
        <x:v>5413.3</x:v>
      </x:c>
      <x:c r="M56" s="15" t="n">
        <x:v>2</x:v>
      </x:c>
      <x:c r="N56" s="15" t="n">
        <x:v>2</x:v>
      </x:c>
      <x:c r="O56" s="15" t="str">
        <x:v>ABIERTA</x:v>
      </x:c>
      <x:c r="P56" s="15" t="str">
        <x:v>Lino económico DEMO</x:v>
      </x:c>
      <x:c r="Q56" s="15" t="str">
        <x:v>ECONOMICO</x:v>
      </x:c>
      <x:c r="R56" s="15" t="str">
        <x:v>m² simulado</x:v>
      </x:c>
      <x:c r="S56" s="15" t="n">
        <x:v>1.12</x:v>
      </x:c>
      <x:c r="T56" s="15" t="n">
        <x:v>4.48</x:v>
      </x:c>
      <x:c r="U56" s="15" t="n">
        <x:v>32</x:v>
      </x:c>
      <x:c r="V56" s="15" t="n">
        <x:v>0</x:v>
      </x:c>
      <x:c r="W56" s="15" t="str">
        <x:v>SUFICIENTE_EN_ESCENARIO</x:v>
      </x:c>
      <x:c r="X56" s="15" t="n">
        <x:v>95</x:v>
      </x:c>
      <x:c r="Y56" s="15" t="n">
        <x:v>380</x:v>
      </x:c>
      <x:c r="Z56" s="15" t="n">
        <x:v>38.15</x:v>
      </x:c>
      <x:c r="AA56" s="28" t="n">
        <x:v>341.85</x:v>
      </x:c>
      <x:c r="AB56" s="15" t="n">
        <x:v>18</x:v>
      </x:c>
      <x:c r="AC56" s="28" t="n">
        <x:v>80.64</x:v>
      </x:c>
      <x:c r="AD56" s="28" t="n">
        <x:v>261.21</x:v>
      </x:c>
      <x:c r="AE56" s="15" t="str">
        <x:v>FACTIBLE_CON_REGLAS_SINTETICAS</x:v>
      </x:c>
      <x:c r="AF56" s="15" t="str">
        <x:v>true</x:v>
      </x:c>
    </x:row>
    <x:row r="57">
      <x:c r="A57" s="15" t="str">
        <x:v>SYN-056</x:v>
      </x:c>
      <x:c r="B57" s="15" t="str">
        <x:v>Toldos</x:v>
      </x:c>
      <x:c r="C57" s="15" t="n">
        <x:v>7.06</x:v>
      </x:c>
      <x:c r="D57" s="15" t="n">
        <x:v>1</x:v>
      </x:c>
      <x:c r="E57" s="15" t="n">
        <x:v>1</x:v>
      </x:c>
      <x:c r="F57" s="15" t="n">
        <x:v>13</x:v>
      </x:c>
      <x:c r="G57" s="15" t="n">
        <x:v>36</x:v>
      </x:c>
      <x:c r="H57" s="15" t="n">
        <x:v>13</x:v>
      </x:c>
      <x:c r="I57" s="15" t="str">
        <x:v>CONCRETADA</x:v>
      </x:c>
      <x:c r="J57" s="15" t="n">
        <x:v>1</x:v>
      </x:c>
      <x:c r="K57" s="15" t="str">
        <x:v>true</x:v>
      </x:c>
      <x:c r="L57" s="15" t="n">
        <x:v>2219.73</x:v>
      </x:c>
      <x:c r="M57" s="15" t="n">
        <x:v>6</x:v>
      </x:c>
      <x:c r="N57" s="15" t="n">
        <x:v>4</x:v>
      </x:c>
      <x:c r="O57" s="15" t="str">
        <x:v>NO_APLICA</x:v>
      </x:c>
      <x:c r="P57" s="15" t="str">
        <x:v>Lona orillo azul DEMO</x:v>
      </x:c>
      <x:c r="Q57" s="15" t="str">
        <x:v>ESTANDAR</x:v>
      </x:c>
      <x:c r="R57" s="15" t="str">
        <x:v>m² simulado</x:v>
      </x:c>
      <x:c r="S57" s="15" t="n">
        <x:v>1.1</x:v>
      </x:c>
      <x:c r="T57" s="15" t="n">
        <x:v>26.4</x:v>
      </x:c>
      <x:c r="U57" s="15" t="n">
        <x:v>22</x:v>
      </x:c>
      <x:c r="V57" s="15" t="n">
        <x:v>4.4</x:v>
      </x:c>
      <x:c r="W57" s="15" t="str">
        <x:v>FALTANTE_EN_ESCENARIO</x:v>
      </x:c>
      <x:c r="X57" s="15" t="n">
        <x:v>120</x:v>
      </x:c>
      <x:c r="Y57" s="15" t="n">
        <x:v>2880</x:v>
      </x:c>
      <x:c r="Z57" s="15" t="n">
        <x:v>203.33</x:v>
      </x:c>
      <x:c r="AA57" s="28" t="n">
        <x:v>2676.67</x:v>
      </x:c>
      <x:c r="AB57" s="15" t="n">
        <x:v>25</x:v>
      </x:c>
      <x:c r="AC57" s="28" t="n">
        <x:v>660</x:v>
      </x:c>
      <x:c r="AD57" s="28" t="n">
        <x:v>2016.67</x:v>
      </x:c>
      <x:c r="AE57" s="15" t="str">
        <x:v>FALTA_STOCK</x:v>
      </x:c>
      <x:c r="AF57" s="15" t="str">
        <x:v>true</x:v>
      </x:c>
    </x:row>
    <x:row r="58">
      <x:c r="A58" s="15" t="str">
        <x:v>SYN-057</x:v>
      </x:c>
      <x:c r="B58" s="15" t="str">
        <x:v>Tapizado de moto</x:v>
      </x:c>
      <x:c r="C58" s="15" t="n">
        <x:v>1.08</x:v>
      </x:c>
      <x:c r="D58" s="15" t="n">
        <x:v>1</x:v>
      </x:c>
      <x:c r="E58" s="15" t="n">
        <x:v>1</x:v>
      </x:c>
      <x:c r="F58" s="15" t="n">
        <x:v>31</x:v>
      </x:c>
      <x:c r="G58" s="15" t="n">
        <x:v>78</x:v>
      </x:c>
      <x:c r="H58" s="15" t="n">
        <x:v>13</x:v>
      </x:c>
      <x:c r="I58" s="15" t="str">
        <x:v>NO_CONCRETADA</x:v>
      </x:c>
      <x:c r="J58" s="15" t="n">
        <x:v>0</x:v>
      </x:c>
      <x:c r="K58" s="15" t="str">
        <x:v>true</x:v>
      </x:c>
      <x:c r="L58" s="15" t="n">
        <x:v>7664.16</x:v>
      </x:c>
      <x:c r="M58" s="15" t="n">
        <x:v>3</x:v>
      </x:c>
      <x:c r="N58" s="15" t="n">
        <x:v>2</x:v>
      </x:c>
      <x:c r="O58" s="15" t="str">
        <x:v>NO_APLICA</x:v>
      </x:c>
      <x:c r="P58" s="15" t="str">
        <x:v>Oxford DEMO</x:v>
      </x:c>
      <x:c r="Q58" s="15" t="str">
        <x:v>NO_APLICA</x:v>
      </x:c>
      <x:c r="R58" s="15" t="str">
        <x:v>m² equivalente DEMO</x:v>
      </x:c>
      <x:c r="S58" s="15" t="n">
        <x:v>0.55</x:v>
      </x:c>
      <x:c r="T58" s="15" t="n">
        <x:v>3.3</x:v>
      </x:c>
      <x:c r="U58" s="15" t="n">
        <x:v>9</x:v>
      </x:c>
      <x:c r="V58" s="15" t="n">
        <x:v>0</x:v>
      </x:c>
      <x:c r="W58" s="15" t="str">
        <x:v>SUFICIENTE_EN_ESCENARIO</x:v>
      </x:c>
      <x:c r="X58" s="15" t="n">
        <x:v>155</x:v>
      </x:c>
      <x:c r="Y58" s="15" t="n">
        <x:v>930</x:v>
      </x:c>
      <x:c r="Z58" s="15" t="n">
        <x:v>10.04</x:v>
      </x:c>
      <x:c r="AA58" s="28" t="n">
        <x:v>919.96</x:v>
      </x:c>
      <x:c r="AB58" s="15" t="n">
        <x:v>38</x:v>
      </x:c>
      <x:c r="AC58" s="28" t="n">
        <x:v>125.4</x:v>
      </x:c>
      <x:c r="AD58" s="28" t="n">
        <x:v>794.56</x:v>
      </x:c>
      <x:c r="AE58" s="15" t="str">
        <x:v>FACTIBLE_CON_REGLAS_SINTETICAS</x:v>
      </x:c>
      <x:c r="AF58" s="15" t="str">
        <x:v>true</x:v>
      </x:c>
    </x:row>
    <x:row r="59">
      <x:c r="A59" s="15" t="str">
        <x:v>SYN-058</x:v>
      </x:c>
      <x:c r="B59" s="15" t="str">
        <x:v>Carpas</x:v>
      </x:c>
      <x:c r="C59" s="15" t="n">
        <x:v>2.61</x:v>
      </x:c>
      <x:c r="D59" s="15" t="n">
        <x:v>1</x:v>
      </x:c>
      <x:c r="E59" s="15" t="n">
        <x:v>1</x:v>
      </x:c>
      <x:c r="F59" s="15" t="n">
        <x:v>62</x:v>
      </x:c>
      <x:c r="G59" s="15" t="n">
        <x:v>74</x:v>
      </x:c>
      <x:c r="H59" s="15" t="n">
        <x:v>9</x:v>
      </x:c>
      <x:c r="I59" s="15" t="str">
        <x:v>CONCRETADA</x:v>
      </x:c>
      <x:c r="J59" s="15" t="n">
        <x:v>1</x:v>
      </x:c>
      <x:c r="K59" s="15" t="str">
        <x:v>true</x:v>
      </x:c>
      <x:c r="L59" s="15" t="n">
        <x:v>1335</x:v>
      </x:c>
      <x:c r="M59" s="15" t="n">
        <x:v>5</x:v>
      </x:c>
      <x:c r="N59" s="15" t="n">
        <x:v>4</x:v>
      </x:c>
      <x:c r="O59" s="15" t="str">
        <x:v>CERRADA</x:v>
      </x:c>
      <x:c r="P59" s="15" t="str">
        <x:v>Lino liviano DEMO</x:v>
      </x:c>
      <x:c r="Q59" s="15" t="str">
        <x:v>LIVIANO</x:v>
      </x:c>
      <x:c r="R59" s="15" t="str">
        <x:v>m² simulado</x:v>
      </x:c>
      <x:c r="S59" s="15" t="n">
        <x:v>1.55</x:v>
      </x:c>
      <x:c r="T59" s="15" t="n">
        <x:v>31</x:v>
      </x:c>
      <x:c r="U59" s="15" t="n">
        <x:v>28</x:v>
      </x:c>
      <x:c r="V59" s="15" t="n">
        <x:v>3</x:v>
      </x:c>
      <x:c r="W59" s="15" t="str">
        <x:v>FALTANTE_EN_ESCENARIO</x:v>
      </x:c>
      <x:c r="X59" s="15" t="n">
        <x:v>108</x:v>
      </x:c>
      <x:c r="Y59" s="15" t="n">
        <x:v>2916</x:v>
      </x:c>
      <x:c r="Z59" s="15" t="n">
        <x:v>76.11</x:v>
      </x:c>
      <x:c r="AA59" s="28" t="n">
        <x:v>2839.89</x:v>
      </x:c>
      <x:c r="AB59" s="15" t="n">
        <x:v>22</x:v>
      </x:c>
      <x:c r="AC59" s="28" t="n">
        <x:v>682</x:v>
      </x:c>
      <x:c r="AD59" s="28" t="n">
        <x:v>2157.89</x:v>
      </x:c>
      <x:c r="AE59" s="15" t="str">
        <x:v>FALTA_STOCK</x:v>
      </x:c>
      <x:c r="AF59" s="15" t="str">
        <x:v>true</x:v>
      </x:c>
    </x:row>
    <x:row r="60">
      <x:c r="A60" s="15" t="str">
        <x:v>SYN-059</x:v>
      </x:c>
      <x:c r="B60" s="15" t="str">
        <x:v>Toldos</x:v>
      </x:c>
      <x:c r="C60" s="15" t="n">
        <x:v>7.45</x:v>
      </x:c>
      <x:c r="D60" s="15" t="n">
        <x:v>1</x:v>
      </x:c>
      <x:c r="E60" s="15" t="n">
        <x:v>1</x:v>
      </x:c>
      <x:c r="F60" s="15" t="n">
        <x:v>16</x:v>
      </x:c>
      <x:c r="G60" s="15" t="n">
        <x:v>44</x:v>
      </x:c>
      <x:c r="H60" s="15" t="n">
        <x:v>4</x:v>
      </x:c>
      <x:c r="I60" s="15" t="str">
        <x:v>CONCRETADA</x:v>
      </x:c>
      <x:c r="J60" s="15" t="n">
        <x:v>1</x:v>
      </x:c>
      <x:c r="K60" s="15" t="str">
        <x:v>true</x:v>
      </x:c>
      <x:c r="L60" s="15" t="n">
        <x:v>3137.8</x:v>
      </x:c>
      <x:c r="M60" s="15" t="n">
        <x:v>4</x:v>
      </x:c>
      <x:c r="N60" s="15" t="n">
        <x:v>3</x:v>
      </x:c>
      <x:c r="O60" s="15" t="str">
        <x:v>NO_APLICA</x:v>
      </x:c>
      <x:c r="P60" s="15" t="str">
        <x:v>Lona orillo azul DEMO</x:v>
      </x:c>
      <x:c r="Q60" s="15" t="str">
        <x:v>ESTANDAR</x:v>
      </x:c>
      <x:c r="R60" s="15" t="str">
        <x:v>m² simulado</x:v>
      </x:c>
      <x:c r="S60" s="15" t="n">
        <x:v>1.1</x:v>
      </x:c>
      <x:c r="T60" s="15" t="n">
        <x:v>13.2</x:v>
      </x:c>
      <x:c r="U60" s="15" t="n">
        <x:v>22</x:v>
      </x:c>
      <x:c r="V60" s="15" t="n">
        <x:v>0</x:v>
      </x:c>
      <x:c r="W60" s="15" t="str">
        <x:v>SUFICIENTE_EN_ESCENARIO</x:v>
      </x:c>
      <x:c r="X60" s="15" t="n">
        <x:v>120</x:v>
      </x:c>
      <x:c r="Y60" s="15" t="n">
        <x:v>1440</x:v>
      </x:c>
      <x:c r="Z60" s="15" t="n">
        <x:v>107.28</x:v>
      </x:c>
      <x:c r="AA60" s="28" t="n">
        <x:v>1332.72</x:v>
      </x:c>
      <x:c r="AB60" s="15" t="n">
        <x:v>25</x:v>
      </x:c>
      <x:c r="AC60" s="28" t="n">
        <x:v>330</x:v>
      </x:c>
      <x:c r="AD60" s="28" t="n">
        <x:v>1002.72</x:v>
      </x:c>
      <x:c r="AE60" s="15" t="str">
        <x:v>FACTIBLE_CON_REGLAS_SINTETICAS</x:v>
      </x:c>
      <x:c r="AF60" s="15" t="str">
        <x:v>true</x:v>
      </x:c>
    </x:row>
    <x:row r="61">
      <x:c r="A61" s="15" t="str">
        <x:v>SYN-060</x:v>
      </x:c>
      <x:c r="B61" s="15" t="str">
        <x:v>Tapizado de moto</x:v>
      </x:c>
      <x:c r="C61" s="15" t="n">
        <x:v>5.52</x:v>
      </x:c>
      <x:c r="D61" s="15" t="n">
        <x:v>0</x:v>
      </x:c>
      <x:c r="E61" s="15" t="n">
        <x:v>0</x:v>
      </x:c>
      <x:c r="F61" s="15" t="n">
        <x:v>41</x:v>
      </x:c>
      <x:c r="G61" s="15" t="n">
        <x:v>65</x:v>
      </x:c>
      <x:c r="H61" s="15" t="n">
        <x:v>9</x:v>
      </x:c>
      <x:c r="I61" s="15" t="str">
        <x:v>NO_CONCRETADA</x:v>
      </x:c>
      <x:c r="J61" s="15" t="n">
        <x:v>0</x:v>
      </x:c>
      <x:c r="K61" s="15" t="str">
        <x:v>true</x:v>
      </x:c>
      <x:c r="L61" s="15" t="n">
        <x:v>4669.44</x:v>
      </x:c>
      <x:c r="M61" s="15" t="n">
        <x:v>4</x:v>
      </x:c>
      <x:c r="N61" s="15" t="n">
        <x:v>3</x:v>
      </x:c>
      <x:c r="O61" s="15" t="str">
        <x:v>NO_APLICA</x:v>
      </x:c>
      <x:c r="P61" s="15" t="str">
        <x:v>Oxford DEMO</x:v>
      </x:c>
      <x:c r="Q61" s="15" t="str">
        <x:v>NO_APLICA</x:v>
      </x:c>
      <x:c r="R61" s="15" t="str">
        <x:v>m² equivalente DEMO</x:v>
      </x:c>
      <x:c r="S61" s="15" t="n">
        <x:v>0.55</x:v>
      </x:c>
      <x:c r="T61" s="15" t="n">
        <x:v>6.6</x:v>
      </x:c>
      <x:c r="U61" s="15" t="n">
        <x:v>9</x:v>
      </x:c>
      <x:c r="V61" s="15" t="n">
        <x:v>0</x:v>
      </x:c>
      <x:c r="W61" s="15" t="str">
        <x:v>SUFICIENTE_EN_ESCENARIO</x:v>
      </x:c>
      <x:c r="X61" s="15" t="n">
        <x:v>155</x:v>
      </x:c>
      <x:c r="Y61" s="15" t="n">
        <x:v>1860</x:v>
      </x:c>
      <x:c r="Z61" s="15" t="n">
        <x:v>102.67</x:v>
      </x:c>
      <x:c r="AA61" s="28" t="n">
        <x:v>1757.33</x:v>
      </x:c>
      <x:c r="AB61" s="15" t="n">
        <x:v>38</x:v>
      </x:c>
      <x:c r="AC61" s="28" t="n">
        <x:v>250.8</x:v>
      </x:c>
      <x:c r="AD61" s="28" t="n">
        <x:v>1506.53</x:v>
      </x:c>
      <x:c r="AE61" s="15" t="str">
        <x:v>REVISAR_DATOS</x:v>
      </x:c>
      <x:c r="AF61" s="15" t="str">
        <x:v>true</x:v>
      </x:c>
    </x:row>
    <x:row r="62">
      <x:c r="A62" s="15" t="str">
        <x:v>SYN-061</x:v>
      </x:c>
      <x:c r="B62" s="15" t="str">
        <x:v>Carpas</x:v>
      </x:c>
      <x:c r="C62" s="15" t="n">
        <x:v>10.68</x:v>
      </x:c>
      <x:c r="D62" s="15" t="n">
        <x:v>1</x:v>
      </x:c>
      <x:c r="E62" s="15" t="n">
        <x:v>1</x:v>
      </x:c>
      <x:c r="F62" s="15" t="n">
        <x:v>48</x:v>
      </x:c>
      <x:c r="G62" s="15" t="n">
        <x:v>31</x:v>
      </x:c>
      <x:c r="H62" s="15" t="n">
        <x:v>12</x:v>
      </x:c>
      <x:c r="I62" s="15" t="str">
        <x:v>NO_CONCRETADA</x:v>
      </x:c>
      <x:c r="J62" s="15" t="n">
        <x:v>0</x:v>
      </x:c>
      <x:c r="K62" s="15" t="str">
        <x:v>true</x:v>
      </x:c>
      <x:c r="L62" s="15" t="n">
        <x:v>5654.25</x:v>
      </x:c>
      <x:c r="M62" s="15" t="n">
        <x:v>3</x:v>
      </x:c>
      <x:c r="N62" s="15" t="n">
        <x:v>3</x:v>
      </x:c>
      <x:c r="O62" s="15" t="str">
        <x:v>ABIERTA</x:v>
      </x:c>
      <x:c r="P62" s="15" t="str">
        <x:v>Lino económico DEMO</x:v>
      </x:c>
      <x:c r="Q62" s="15" t="str">
        <x:v>ECONOMICO</x:v>
      </x:c>
      <x:c r="R62" s="15" t="str">
        <x:v>m² simulado</x:v>
      </x:c>
      <x:c r="S62" s="15" t="n">
        <x:v>1.12</x:v>
      </x:c>
      <x:c r="T62" s="15" t="n">
        <x:v>10.08</x:v>
      </x:c>
      <x:c r="U62" s="15" t="n">
        <x:v>32</x:v>
      </x:c>
      <x:c r="V62" s="15" t="n">
        <x:v>0</x:v>
      </x:c>
      <x:c r="W62" s="15" t="str">
        <x:v>SUFICIENTE_EN_ESCENARIO</x:v>
      </x:c>
      <x:c r="X62" s="15" t="n">
        <x:v>95</x:v>
      </x:c>
      <x:c r="Y62" s="15" t="n">
        <x:v>855</x:v>
      </x:c>
      <x:c r="Z62" s="15" t="n">
        <x:v>91.31</x:v>
      </x:c>
      <x:c r="AA62" s="28" t="n">
        <x:v>763.69</x:v>
      </x:c>
      <x:c r="AB62" s="15" t="n">
        <x:v>18</x:v>
      </x:c>
      <x:c r="AC62" s="28" t="n">
        <x:v>181.44</x:v>
      </x:c>
      <x:c r="AD62" s="28" t="n">
        <x:v>582.25</x:v>
      </x:c>
      <x:c r="AE62" s="15" t="str">
        <x:v>FACTIBLE_CON_REGLAS_SINTETICAS</x:v>
      </x:c>
      <x:c r="AF62" s="15" t="str">
        <x:v>true</x:v>
      </x:c>
    </x:row>
    <x:row r="63">
      <x:c r="A63" s="15" t="str">
        <x:v>SYN-062</x:v>
      </x:c>
      <x:c r="B63" s="15" t="str">
        <x:v>Toldos</x:v>
      </x:c>
      <x:c r="C63" s="15" t="n">
        <x:v>5.04</x:v>
      </x:c>
      <x:c r="D63" s="15" t="n">
        <x:v>1</x:v>
      </x:c>
      <x:c r="E63" s="15" t="n">
        <x:v>1</x:v>
      </x:c>
      <x:c r="F63" s="15" t="n">
        <x:v>12</x:v>
      </x:c>
      <x:c r="G63" s="15" t="n">
        <x:v>84</x:v>
      </x:c>
      <x:c r="H63" s="15" t="n">
        <x:v>7</x:v>
      </x:c>
      <x:c r="I63" s="15" t="str">
        <x:v>CONCRETADA</x:v>
      </x:c>
      <x:c r="J63" s="15" t="n">
        <x:v>1</x:v>
      </x:c>
      <x:c r="K63" s="15" t="str">
        <x:v>true</x:v>
      </x:c>
      <x:c r="L63" s="15" t="n">
        <x:v>6601.77</x:v>
      </x:c>
      <x:c r="M63" s="15" t="n">
        <x:v>2</x:v>
      </x:c>
      <x:c r="N63" s="15" t="n">
        <x:v>2</x:v>
      </x:c>
      <x:c r="O63" s="15" t="str">
        <x:v>NO_APLICA</x:v>
      </x:c>
      <x:c r="P63" s="15" t="str">
        <x:v>Lona orillo rojo DEMO</x:v>
      </x:c>
      <x:c r="Q63" s="15" t="str">
        <x:v>ESTANDAR</x:v>
      </x:c>
      <x:c r="R63" s="15" t="str">
        <x:v>m² simulado</x:v>
      </x:c>
      <x:c r="S63" s="15" t="n">
        <x:v>1.1</x:v>
      </x:c>
      <x:c r="T63" s="15" t="n">
        <x:v>4.4</x:v>
      </x:c>
      <x:c r="U63" s="15" t="n">
        <x:v>18</x:v>
      </x:c>
      <x:c r="V63" s="15" t="n">
        <x:v>0</x:v>
      </x:c>
      <x:c r="W63" s="15" t="str">
        <x:v>SUFICIENTE_EN_ESCENARIO</x:v>
      </x:c>
      <x:c r="X63" s="15" t="n">
        <x:v>122</x:v>
      </x:c>
      <x:c r="Y63" s="15" t="n">
        <x:v>488</x:v>
      </x:c>
      <x:c r="Z63" s="15" t="n">
        <x:v>24.6</x:v>
      </x:c>
      <x:c r="AA63" s="28" t="n">
        <x:v>463.4</x:v>
      </x:c>
      <x:c r="AB63" s="15" t="n">
        <x:v>26</x:v>
      </x:c>
      <x:c r="AC63" s="28" t="n">
        <x:v>114.4</x:v>
      </x:c>
      <x:c r="AD63" s="28" t="n">
        <x:v>349</x:v>
      </x:c>
      <x:c r="AE63" s="15" t="str">
        <x:v>FACTIBLE_CON_REGLAS_SINTETICAS</x:v>
      </x:c>
      <x:c r="AF63" s="15" t="str">
        <x:v>true</x:v>
      </x:c>
    </x:row>
    <x:row r="64">
      <x:c r="A64" s="15" t="str">
        <x:v>SYN-063</x:v>
      </x:c>
      <x:c r="B64" s="15" t="str">
        <x:v>Tapizado de moto</x:v>
      </x:c>
      <x:c r="C64" s="15" t="n">
        <x:v>11</x:v>
      </x:c>
      <x:c r="D64" s="15" t="n">
        <x:v>1</x:v>
      </x:c>
      <x:c r="E64" s="15" t="n">
        <x:v>1</x:v>
      </x:c>
      <x:c r="F64" s="15" t="n">
        <x:v>66</x:v>
      </x:c>
      <x:c r="G64" s="15" t="n">
        <x:v>62</x:v>
      </x:c>
      <x:c r="H64" s="15" t="n">
        <x:v>9</x:v>
      </x:c>
      <x:c r="I64" s="15" t="str">
        <x:v>CONCRETADA</x:v>
      </x:c>
      <x:c r="J64" s="15" t="n">
        <x:v>1</x:v>
      </x:c>
      <x:c r="K64" s="15" t="str">
        <x:v>true</x:v>
      </x:c>
      <x:c r="L64" s="15" t="n">
        <x:v>5135.94</x:v>
      </x:c>
      <x:c r="M64" s="15" t="n">
        <x:v>3</x:v>
      </x:c>
      <x:c r="N64" s="15" t="n">
        <x:v>2</x:v>
      </x:c>
      <x:c r="O64" s="15" t="str">
        <x:v>NO_APLICA</x:v>
      </x:c>
      <x:c r="P64" s="15" t="str">
        <x:v>Oxford DEMO</x:v>
      </x:c>
      <x:c r="Q64" s="15" t="str">
        <x:v>NO_APLICA</x:v>
      </x:c>
      <x:c r="R64" s="15" t="str">
        <x:v>m² equivalente DEMO</x:v>
      </x:c>
      <x:c r="S64" s="15" t="n">
        <x:v>0.55</x:v>
      </x:c>
      <x:c r="T64" s="15" t="n">
        <x:v>3.3</x:v>
      </x:c>
      <x:c r="U64" s="15" t="n">
        <x:v>9</x:v>
      </x:c>
      <x:c r="V64" s="15" t="n">
        <x:v>0</x:v>
      </x:c>
      <x:c r="W64" s="15" t="str">
        <x:v>SUFICIENTE_EN_ESCENARIO</x:v>
      </x:c>
      <x:c r="X64" s="15" t="n">
        <x:v>155</x:v>
      </x:c>
      <x:c r="Y64" s="15" t="n">
        <x:v>930</x:v>
      </x:c>
      <x:c r="Z64" s="15" t="n">
        <x:v>102.3</x:v>
      </x:c>
      <x:c r="AA64" s="28" t="n">
        <x:v>827.7</x:v>
      </x:c>
      <x:c r="AB64" s="15" t="n">
        <x:v>38</x:v>
      </x:c>
      <x:c r="AC64" s="28" t="n">
        <x:v>125.4</x:v>
      </x:c>
      <x:c r="AD64" s="28" t="n">
        <x:v>702.3</x:v>
      </x:c>
      <x:c r="AE64" s="15" t="str">
        <x:v>FACTIBLE_CON_REGLAS_SINTETICAS</x:v>
      </x:c>
      <x:c r="AF64" s="15" t="str">
        <x:v>true</x:v>
      </x:c>
    </x:row>
    <x:row r="65">
      <x:c r="A65" s="15" t="str">
        <x:v>SYN-064</x:v>
      </x:c>
      <x:c r="B65" s="15" t="str">
        <x:v>Carpas</x:v>
      </x:c>
      <x:c r="C65" s="15" t="n">
        <x:v>4.31</x:v>
      </x:c>
      <x:c r="D65" s="15" t="n">
        <x:v>1</x:v>
      </x:c>
      <x:c r="E65" s="15" t="n">
        <x:v>0</x:v>
      </x:c>
      <x:c r="F65" s="15" t="n">
        <x:v>20</x:v>
      </x:c>
      <x:c r="G65" s="15" t="n">
        <x:v>35</x:v>
      </x:c>
      <x:c r="H65" s="15" t="n">
        <x:v>2</x:v>
      </x:c>
      <x:c r="I65" s="15" t="str">
        <x:v>NO_CONCRETADA</x:v>
      </x:c>
      <x:c r="J65" s="15" t="n">
        <x:v>0</x:v>
      </x:c>
      <x:c r="K65" s="15" t="str">
        <x:v>true</x:v>
      </x:c>
      <x:c r="L65" s="15" t="n">
        <x:v>2351.74</x:v>
      </x:c>
      <x:c r="M65" s="15" t="n">
        <x:v>4</x:v>
      </x:c>
      <x:c r="N65" s="15" t="n">
        <x:v>3</x:v>
      </x:c>
      <x:c r="O65" s="15" t="str">
        <x:v>ABIERTA</x:v>
      </x:c>
      <x:c r="P65" s="15" t="str">
        <x:v>Lino económico DEMO</x:v>
      </x:c>
      <x:c r="Q65" s="15" t="str">
        <x:v>ECONOMICO</x:v>
      </x:c>
      <x:c r="R65" s="15" t="str">
        <x:v>m² simulado</x:v>
      </x:c>
      <x:c r="S65" s="15" t="n">
        <x:v>1.12</x:v>
      </x:c>
      <x:c r="T65" s="15" t="n">
        <x:v>13.44</x:v>
      </x:c>
      <x:c r="U65" s="15" t="n">
        <x:v>32</x:v>
      </x:c>
      <x:c r="V65" s="15" t="n">
        <x:v>0</x:v>
      </x:c>
      <x:c r="W65" s="15" t="str">
        <x:v>SUFICIENTE_EN_ESCENARIO</x:v>
      </x:c>
      <x:c r="X65" s="15" t="n">
        <x:v>95</x:v>
      </x:c>
      <x:c r="Y65" s="15" t="n">
        <x:v>1140</x:v>
      </x:c>
      <x:c r="Z65" s="15" t="n">
        <x:v>49.13</x:v>
      </x:c>
      <x:c r="AA65" s="28" t="n">
        <x:v>1090.87</x:v>
      </x:c>
      <x:c r="AB65" s="15" t="n">
        <x:v>18</x:v>
      </x:c>
      <x:c r="AC65" s="28" t="n">
        <x:v>241.92</x:v>
      </x:c>
      <x:c r="AD65" s="28" t="n">
        <x:v>848.95</x:v>
      </x:c>
      <x:c r="AE65" s="15" t="str">
        <x:v>FACTIBLE_CON_REGLAS_SINTETICAS</x:v>
      </x:c>
      <x:c r="AF65" s="15" t="str">
        <x:v>true</x:v>
      </x:c>
    </x:row>
    <x:row r="66">
      <x:c r="A66" s="15" t="str">
        <x:v>SYN-065</x:v>
      </x:c>
      <x:c r="B66" s="15" t="str">
        <x:v>Toldos</x:v>
      </x:c>
      <x:c r="C66" s="15" t="n">
        <x:v>1.22</x:v>
      </x:c>
      <x:c r="D66" s="15" t="n">
        <x:v>0</x:v>
      </x:c>
      <x:c r="E66" s="15" t="n">
        <x:v>0</x:v>
      </x:c>
      <x:c r="F66" s="15" t="n">
        <x:v>70</x:v>
      </x:c>
      <x:c r="G66" s="15" t="n">
        <x:v>40</x:v>
      </x:c>
      <x:c r="H66" s="15" t="n">
        <x:v>2</x:v>
      </x:c>
      <x:c r="I66" s="15" t="str">
        <x:v>CONCRETADA</x:v>
      </x:c>
      <x:c r="J66" s="15" t="n">
        <x:v>1</x:v>
      </x:c>
      <x:c r="K66" s="15" t="str">
        <x:v>true</x:v>
      </x:c>
      <x:c r="L66" s="15" t="n">
        <x:v>730.9</x:v>
      </x:c>
      <x:c r="M66" s="15" t="n">
        <x:v>2</x:v>
      </x:c>
      <x:c r="N66" s="15" t="n">
        <x:v>2</x:v>
      </x:c>
      <x:c r="O66" s="15" t="str">
        <x:v>NO_APLICA</x:v>
      </x:c>
      <x:c r="P66" s="15" t="str">
        <x:v>Lona orillo rojo DEMO</x:v>
      </x:c>
      <x:c r="Q66" s="15" t="str">
        <x:v>ESTANDAR</x:v>
      </x:c>
      <x:c r="R66" s="15" t="str">
        <x:v>m² simulado</x:v>
      </x:c>
      <x:c r="S66" s="15" t="n">
        <x:v>1.1</x:v>
      </x:c>
      <x:c r="T66" s="15" t="n">
        <x:v>4.4</x:v>
      </x:c>
      <x:c r="U66" s="15" t="n">
        <x:v>18</x:v>
      </x:c>
      <x:c r="V66" s="15" t="n">
        <x:v>0</x:v>
      </x:c>
      <x:c r="W66" s="15" t="str">
        <x:v>SUFICIENTE_EN_ESCENARIO</x:v>
      </x:c>
      <x:c r="X66" s="15" t="n">
        <x:v>122</x:v>
      </x:c>
      <x:c r="Y66" s="15" t="n">
        <x:v>488</x:v>
      </x:c>
      <x:c r="Z66" s="15" t="n">
        <x:v>5.95</x:v>
      </x:c>
      <x:c r="AA66" s="28" t="n">
        <x:v>482.05</x:v>
      </x:c>
      <x:c r="AB66" s="15" t="n">
        <x:v>26</x:v>
      </x:c>
      <x:c r="AC66" s="28" t="n">
        <x:v>114.4</x:v>
      </x:c>
      <x:c r="AD66" s="28" t="n">
        <x:v>367.65</x:v>
      </x:c>
      <x:c r="AE66" s="15" t="str">
        <x:v>REVISAR_DATOS</x:v>
      </x:c>
      <x:c r="AF66" s="15" t="str">
        <x:v>true</x:v>
      </x:c>
    </x:row>
    <x:row r="67">
      <x:c r="A67" s="15" t="str">
        <x:v>SYN-066</x:v>
      </x:c>
      <x:c r="B67" s="15" t="str">
        <x:v>Tapizado de moto</x:v>
      </x:c>
      <x:c r="C67" s="15" t="n">
        <x:v>4.8</x:v>
      </x:c>
      <x:c r="D67" s="15" t="n">
        <x:v>1</x:v>
      </x:c>
      <x:c r="E67" s="15" t="n">
        <x:v>1</x:v>
      </x:c>
      <x:c r="F67" s="15" t="n">
        <x:v>49</x:v>
      </x:c>
      <x:c r="G67" s="15" t="n">
        <x:v>3</x:v>
      </x:c>
      <x:c r="H67" s="15" t="n">
        <x:v>10</x:v>
      </x:c>
      <x:c r="I67" s="15" t="str">
        <x:v>NO_CONCRETADA</x:v>
      </x:c>
      <x:c r="J67" s="15" t="n">
        <x:v>0</x:v>
      </x:c>
      <x:c r="K67" s="15" t="str">
        <x:v>true</x:v>
      </x:c>
      <x:c r="L67" s="15" t="n">
        <x:v>3737.82</x:v>
      </x:c>
      <x:c r="M67" s="15" t="n">
        <x:v>2</x:v>
      </x:c>
      <x:c r="N67" s="15" t="n">
        <x:v>2</x:v>
      </x:c>
      <x:c r="O67" s="15" t="str">
        <x:v>NO_APLICA</x:v>
      </x:c>
      <x:c r="P67" s="15" t="str">
        <x:v>Oxford DEMO</x:v>
      </x:c>
      <x:c r="Q67" s="15" t="str">
        <x:v>NO_APLICA</x:v>
      </x:c>
      <x:c r="R67" s="15" t="str">
        <x:v>m² equivalente DEMO</x:v>
      </x:c>
      <x:c r="S67" s="15" t="n">
        <x:v>0.55</x:v>
      </x:c>
      <x:c r="T67" s="15" t="n">
        <x:v>2.2</x:v>
      </x:c>
      <x:c r="U67" s="15" t="n">
        <x:v>9</x:v>
      </x:c>
      <x:c r="V67" s="15" t="n">
        <x:v>0</x:v>
      </x:c>
      <x:c r="W67" s="15" t="str">
        <x:v>SUFICIENTE_EN_ESCENARIO</x:v>
      </x:c>
      <x:c r="X67" s="15" t="n">
        <x:v>155</x:v>
      </x:c>
      <x:c r="Y67" s="15" t="n">
        <x:v>620</x:v>
      </x:c>
      <x:c r="Z67" s="15" t="n">
        <x:v>29.76</x:v>
      </x:c>
      <x:c r="AA67" s="28" t="n">
        <x:v>590.24</x:v>
      </x:c>
      <x:c r="AB67" s="15" t="n">
        <x:v>38</x:v>
      </x:c>
      <x:c r="AC67" s="28" t="n">
        <x:v>83.6</x:v>
      </x:c>
      <x:c r="AD67" s="28" t="n">
        <x:v>506.64</x:v>
      </x:c>
      <x:c r="AE67" s="15" t="str">
        <x:v>FACTIBLE_CON_REGLAS_SINTETICAS</x:v>
      </x:c>
      <x:c r="AF67" s="15" t="str">
        <x:v>true</x:v>
      </x:c>
    </x:row>
    <x:row r="68">
      <x:c r="A68" s="15" t="str">
        <x:v>SYN-067</x:v>
      </x:c>
      <x:c r="B68" s="15" t="str">
        <x:v>Carpas</x:v>
      </x:c>
      <x:c r="C68" s="15" t="n">
        <x:v>18.13</x:v>
      </x:c>
      <x:c r="D68" s="15" t="n">
        <x:v>1</x:v>
      </x:c>
      <x:c r="E68" s="15" t="n">
        <x:v>0</x:v>
      </x:c>
      <x:c r="F68" s="15" t="n">
        <x:v>67</x:v>
      </x:c>
      <x:c r="G68" s="15" t="n">
        <x:v>15</x:v>
      </x:c>
      <x:c r="H68" s="15" t="n">
        <x:v>17</x:v>
      </x:c>
      <x:c r="I68" s="15" t="str">
        <x:v>NO_CONCRETADA</x:v>
      </x:c>
      <x:c r="J68" s="15" t="n">
        <x:v>0</x:v>
      </x:c>
      <x:c r="K68" s="15" t="str">
        <x:v>true</x:v>
      </x:c>
      <x:c r="L68" s="15" t="n">
        <x:v>5894.16</x:v>
      </x:c>
      <x:c r="M68" s="15" t="n">
        <x:v>3</x:v>
      </x:c>
      <x:c r="N68" s="15" t="n">
        <x:v>2</x:v>
      </x:c>
      <x:c r="O68" s="15" t="str">
        <x:v>ABIERTA</x:v>
      </x:c>
      <x:c r="P68" s="15" t="str">
        <x:v>Lino liviano DEMO</x:v>
      </x:c>
      <x:c r="Q68" s="15" t="str">
        <x:v>LIVIANO</x:v>
      </x:c>
      <x:c r="R68" s="15" t="str">
        <x:v>m² simulado</x:v>
      </x:c>
      <x:c r="S68" s="15" t="n">
        <x:v>1.12</x:v>
      </x:c>
      <x:c r="T68" s="15" t="n">
        <x:v>6.72</x:v>
      </x:c>
      <x:c r="U68" s="15" t="n">
        <x:v>28</x:v>
      </x:c>
      <x:c r="V68" s="15" t="n">
        <x:v>0</x:v>
      </x:c>
      <x:c r="W68" s="15" t="str">
        <x:v>SUFICIENTE_EN_ESCENARIO</x:v>
      </x:c>
      <x:c r="X68" s="15" t="n">
        <x:v>108</x:v>
      </x:c>
      <x:c r="Y68" s="15" t="n">
        <x:v>648</x:v>
      </x:c>
      <x:c r="Z68" s="15" t="n">
        <x:v>117.48</x:v>
      </x:c>
      <x:c r="AA68" s="28" t="n">
        <x:v>530.52</x:v>
      </x:c>
      <x:c r="AB68" s="15" t="n">
        <x:v>22</x:v>
      </x:c>
      <x:c r="AC68" s="28" t="n">
        <x:v>147.84</x:v>
      </x:c>
      <x:c r="AD68" s="28" t="n">
        <x:v>382.68</x:v>
      </x:c>
      <x:c r="AE68" s="15" t="str">
        <x:v>FACTIBLE_CON_REGLAS_SINTETICAS</x:v>
      </x:c>
      <x:c r="AF68" s="15" t="str">
        <x:v>true</x:v>
      </x:c>
    </x:row>
    <x:row r="69">
      <x:c r="A69" s="15" t="str">
        <x:v>SYN-068</x:v>
      </x:c>
      <x:c r="B69" s="15" t="str">
        <x:v>Toldos</x:v>
      </x:c>
      <x:c r="C69" s="15" t="n">
        <x:v>3.48</x:v>
      </x:c>
      <x:c r="D69" s="15" t="n">
        <x:v>1</x:v>
      </x:c>
      <x:c r="E69" s="15" t="n">
        <x:v>1</x:v>
      </x:c>
      <x:c r="F69" s="15" t="n">
        <x:v>29</x:v>
      </x:c>
      <x:c r="G69" s="15" t="n">
        <x:v>86</x:v>
      </x:c>
      <x:c r="H69" s="15" t="n">
        <x:v>12</x:v>
      </x:c>
      <x:c r="I69" s="15" t="str">
        <x:v>CONCRETADA</x:v>
      </x:c>
      <x:c r="J69" s="15" t="n">
        <x:v>1</x:v>
      </x:c>
      <x:c r="K69" s="15" t="str">
        <x:v>true</x:v>
      </x:c>
      <x:c r="L69" s="15" t="n">
        <x:v>506.72</x:v>
      </x:c>
      <x:c r="M69" s="15" t="n">
        <x:v>3</x:v>
      </x:c>
      <x:c r="N69" s="15" t="n">
        <x:v>2</x:v>
      </x:c>
      <x:c r="O69" s="15" t="str">
        <x:v>NO_APLICA</x:v>
      </x:c>
      <x:c r="P69" s="15" t="str">
        <x:v>Tarflex DEMO</x:v>
      </x:c>
      <x:c r="Q69" s="15" t="str">
        <x:v>ESTANDAR</x:v>
      </x:c>
      <x:c r="R69" s="15" t="str">
        <x:v>m² simulado</x:v>
      </x:c>
      <x:c r="S69" s="15" t="n">
        <x:v>1.1</x:v>
      </x:c>
      <x:c r="T69" s="15" t="n">
        <x:v>6.6</x:v>
      </x:c>
      <x:c r="U69" s="15" t="n">
        <x:v>24</x:v>
      </x:c>
      <x:c r="V69" s="15" t="n">
        <x:v>0</x:v>
      </x:c>
      <x:c r="W69" s="15" t="str">
        <x:v>SUFICIENTE_EN_ESCENARIO</x:v>
      </x:c>
      <x:c r="X69" s="15" t="n">
        <x:v>112</x:v>
      </x:c>
      <x:c r="Y69" s="15" t="n">
        <x:v>672</x:v>
      </x:c>
      <x:c r="Z69" s="15" t="n">
        <x:v>23.39</x:v>
      </x:c>
      <x:c r="AA69" s="28" t="n">
        <x:v>648.61</x:v>
      </x:c>
      <x:c r="AB69" s="15" t="n">
        <x:v>23</x:v>
      </x:c>
      <x:c r="AC69" s="28" t="n">
        <x:v>151.8</x:v>
      </x:c>
      <x:c r="AD69" s="28" t="n">
        <x:v>496.81</x:v>
      </x:c>
      <x:c r="AE69" s="15" t="str">
        <x:v>FACTIBLE_CON_REGLAS_SINTETICAS</x:v>
      </x:c>
      <x:c r="AF69" s="15" t="str">
        <x:v>true</x:v>
      </x:c>
    </x:row>
    <x:row r="70">
      <x:c r="A70" s="15" t="str">
        <x:v>SYN-069</x:v>
      </x:c>
      <x:c r="B70" s="15" t="str">
        <x:v>Tapizado de moto</x:v>
      </x:c>
      <x:c r="C70" s="15" t="n">
        <x:v>2.32</x:v>
      </x:c>
      <x:c r="D70" s="15" t="n">
        <x:v>0</x:v>
      </x:c>
      <x:c r="E70" s="15" t="n">
        <x:v>0</x:v>
      </x:c>
      <x:c r="F70" s="15" t="n">
        <x:v>34</x:v>
      </x:c>
      <x:c r="G70" s="15" t="n">
        <x:v>52</x:v>
      </x:c>
      <x:c r="H70" s="15" t="n">
        <x:v>19</x:v>
      </x:c>
      <x:c r="I70" s="15" t="str">
        <x:v>NO_CONCRETADA</x:v>
      </x:c>
      <x:c r="J70" s="15" t="n">
        <x:v>0</x:v>
      </x:c>
      <x:c r="K70" s="15" t="str">
        <x:v>true</x:v>
      </x:c>
      <x:c r="L70" s="15" t="n">
        <x:v>4430.53</x:v>
      </x:c>
      <x:c r="M70" s="15" t="n">
        <x:v>3</x:v>
      </x:c>
      <x:c r="N70" s="15" t="n">
        <x:v>2</x:v>
      </x:c>
      <x:c r="O70" s="15" t="str">
        <x:v>NO_APLICA</x:v>
      </x:c>
      <x:c r="P70" s="15" t="str">
        <x:v>Oxford DEMO</x:v>
      </x:c>
      <x:c r="Q70" s="15" t="str">
        <x:v>NO_APLICA</x:v>
      </x:c>
      <x:c r="R70" s="15" t="str">
        <x:v>m² equivalente DEMO</x:v>
      </x:c>
      <x:c r="S70" s="15" t="n">
        <x:v>0.55</x:v>
      </x:c>
      <x:c r="T70" s="15" t="n">
        <x:v>3.3</x:v>
      </x:c>
      <x:c r="U70" s="15" t="n">
        <x:v>9</x:v>
      </x:c>
      <x:c r="V70" s="15" t="n">
        <x:v>0</x:v>
      </x:c>
      <x:c r="W70" s="15" t="str">
        <x:v>SUFICIENTE_EN_ESCENARIO</x:v>
      </x:c>
      <x:c r="X70" s="15" t="n">
        <x:v>155</x:v>
      </x:c>
      <x:c r="Y70" s="15" t="n">
        <x:v>930</x:v>
      </x:c>
      <x:c r="Z70" s="15" t="n">
        <x:v>21.58</x:v>
      </x:c>
      <x:c r="AA70" s="28" t="n">
        <x:v>908.42</x:v>
      </x:c>
      <x:c r="AB70" s="15" t="n">
        <x:v>38</x:v>
      </x:c>
      <x:c r="AC70" s="28" t="n">
        <x:v>125.4</x:v>
      </x:c>
      <x:c r="AD70" s="28" t="n">
        <x:v>783.02</x:v>
      </x:c>
      <x:c r="AE70" s="15" t="str">
        <x:v>REVISAR_DATOS</x:v>
      </x:c>
      <x:c r="AF70" s="15" t="str">
        <x:v>true</x:v>
      </x:c>
    </x:row>
    <x:row r="71">
      <x:c r="A71" s="15" t="str">
        <x:v>SYN-070</x:v>
      </x:c>
      <x:c r="B71" s="15" t="str">
        <x:v>Carpas</x:v>
      </x:c>
      <x:c r="C71" s="15" t="n">
        <x:v>19.85</x:v>
      </x:c>
      <x:c r="D71" s="15" t="n">
        <x:v>0</x:v>
      </x:c>
      <x:c r="E71" s="15" t="n">
        <x:v>0</x:v>
      </x:c>
      <x:c r="F71" s="15" t="n">
        <x:v>21</x:v>
      </x:c>
      <x:c r="G71" s="15" t="n">
        <x:v>55</x:v>
      </x:c>
      <x:c r="H71" s="15" t="n">
        <x:v>5</x:v>
      </x:c>
      <x:c r="I71" s="15" t="str">
        <x:v>NO_CONCRETADA</x:v>
      </x:c>
      <x:c r="J71" s="15" t="n">
        <x:v>0</x:v>
      </x:c>
      <x:c r="K71" s="15" t="str">
        <x:v>true</x:v>
      </x:c>
      <x:c r="L71" s="15" t="n">
        <x:v>5887.24</x:v>
      </x:c>
      <x:c r="M71" s="15" t="n">
        <x:v>5</x:v>
      </x:c>
      <x:c r="N71" s="15" t="n">
        <x:v>4</x:v>
      </x:c>
      <x:c r="O71" s="15" t="str">
        <x:v>ABIERTA</x:v>
      </x:c>
      <x:c r="P71" s="15" t="str">
        <x:v>Lino económico DEMO</x:v>
      </x:c>
      <x:c r="Q71" s="15" t="str">
        <x:v>ECONOMICO</x:v>
      </x:c>
      <x:c r="R71" s="15" t="str">
        <x:v>m² simulado</x:v>
      </x:c>
      <x:c r="S71" s="15" t="n">
        <x:v>1.12</x:v>
      </x:c>
      <x:c r="T71" s="15" t="n">
        <x:v>22.4</x:v>
      </x:c>
      <x:c r="U71" s="15" t="n">
        <x:v>32</x:v>
      </x:c>
      <x:c r="V71" s="15" t="n">
        <x:v>0</x:v>
      </x:c>
      <x:c r="W71" s="15" t="str">
        <x:v>SUFICIENTE_EN_ESCENARIO</x:v>
      </x:c>
      <x:c r="X71" s="15" t="n">
        <x:v>95</x:v>
      </x:c>
      <x:c r="Y71" s="15" t="n">
        <x:v>1900</x:v>
      </x:c>
      <x:c r="Z71" s="15" t="n">
        <x:v>377.15</x:v>
      </x:c>
      <x:c r="AA71" s="28" t="n">
        <x:v>1522.85</x:v>
      </x:c>
      <x:c r="AB71" s="15" t="n">
        <x:v>18</x:v>
      </x:c>
      <x:c r="AC71" s="28" t="n">
        <x:v>403.2</x:v>
      </x:c>
      <x:c r="AD71" s="28" t="n">
        <x:v>1119.65</x:v>
      </x:c>
      <x:c r="AE71" s="15" t="str">
        <x:v>REVISAR_DATOS</x:v>
      </x:c>
      <x:c r="AF71" s="15" t="str">
        <x:v>true</x:v>
      </x:c>
    </x:row>
    <x:row r="72">
      <x:c r="A72" s="15" t="str">
        <x:v>SYN-071</x:v>
      </x:c>
      <x:c r="B72" s="15" t="str">
        <x:v>Toldos</x:v>
      </x:c>
      <x:c r="C72" s="15" t="n">
        <x:v>2.82</x:v>
      </x:c>
      <x:c r="D72" s="15" t="n">
        <x:v>1</x:v>
      </x:c>
      <x:c r="E72" s="15" t="n">
        <x:v>0</x:v>
      </x:c>
      <x:c r="F72" s="15" t="n">
        <x:v>74</x:v>
      </x:c>
      <x:c r="G72" s="15" t="n">
        <x:v>72</x:v>
      </x:c>
      <x:c r="H72" s="15" t="n">
        <x:v>17</x:v>
      </x:c>
      <x:c r="I72" s="15" t="str">
        <x:v>NO_CONCRETADA</x:v>
      </x:c>
      <x:c r="J72" s="15" t="n">
        <x:v>0</x:v>
      </x:c>
      <x:c r="K72" s="15" t="str">
        <x:v>true</x:v>
      </x:c>
      <x:c r="L72" s="15" t="n">
        <x:v>5604.53</x:v>
      </x:c>
      <x:c r="M72" s="15" t="n">
        <x:v>4</x:v>
      </x:c>
      <x:c r="N72" s="15" t="n">
        <x:v>3</x:v>
      </x:c>
      <x:c r="O72" s="15" t="str">
        <x:v>NO_APLICA</x:v>
      </x:c>
      <x:c r="P72" s="15" t="str">
        <x:v>Lona orillo rojo DEMO</x:v>
      </x:c>
      <x:c r="Q72" s="15" t="str">
        <x:v>ESTANDAR</x:v>
      </x:c>
      <x:c r="R72" s="15" t="str">
        <x:v>m² simulado</x:v>
      </x:c>
      <x:c r="S72" s="15" t="n">
        <x:v>1.1</x:v>
      </x:c>
      <x:c r="T72" s="15" t="n">
        <x:v>13.2</x:v>
      </x:c>
      <x:c r="U72" s="15" t="n">
        <x:v>18</x:v>
      </x:c>
      <x:c r="V72" s="15" t="n">
        <x:v>0</x:v>
      </x:c>
      <x:c r="W72" s="15" t="str">
        <x:v>SUFICIENTE_EN_ESCENARIO</x:v>
      </x:c>
      <x:c r="X72" s="15" t="n">
        <x:v>122</x:v>
      </x:c>
      <x:c r="Y72" s="15" t="n">
        <x:v>1464</x:v>
      </x:c>
      <x:c r="Z72" s="15" t="n">
        <x:v>41.28</x:v>
      </x:c>
      <x:c r="AA72" s="28" t="n">
        <x:v>1422.72</x:v>
      </x:c>
      <x:c r="AB72" s="15" t="n">
        <x:v>26</x:v>
      </x:c>
      <x:c r="AC72" s="28" t="n">
        <x:v>343.2</x:v>
      </x:c>
      <x:c r="AD72" s="28" t="n">
        <x:v>1079.52</x:v>
      </x:c>
      <x:c r="AE72" s="15" t="str">
        <x:v>FACTIBLE_CON_REGLAS_SINTETICAS</x:v>
      </x:c>
      <x:c r="AF72" s="15" t="str">
        <x:v>true</x:v>
      </x:c>
    </x:row>
    <x:row r="73">
      <x:c r="A73" s="15" t="str">
        <x:v>SYN-072</x:v>
      </x:c>
      <x:c r="B73" s="15" t="str">
        <x:v>Tapizado de moto</x:v>
      </x:c>
      <x:c r="C73" s="15" t="n">
        <x:v>13.91</x:v>
      </x:c>
      <x:c r="D73" s="15" t="n">
        <x:v>0</x:v>
      </x:c>
      <x:c r="E73" s="15" t="n">
        <x:v>0</x:v>
      </x:c>
      <x:c r="F73" s="15" t="n">
        <x:v>75</x:v>
      </x:c>
      <x:c r="G73" s="15" t="n">
        <x:v>47</x:v>
      </x:c>
      <x:c r="H73" s="15" t="n">
        <x:v>18</x:v>
      </x:c>
      <x:c r="I73" s="15" t="str">
        <x:v>NO_CONCRETADA</x:v>
      </x:c>
      <x:c r="J73" s="15" t="n">
        <x:v>0</x:v>
      </x:c>
      <x:c r="K73" s="15" t="str">
        <x:v>true</x:v>
      </x:c>
      <x:c r="L73" s="15" t="n">
        <x:v>4745.16</x:v>
      </x:c>
      <x:c r="M73" s="15" t="n">
        <x:v>5</x:v>
      </x:c>
      <x:c r="N73" s="15" t="n">
        <x:v>4</x:v>
      </x:c>
      <x:c r="O73" s="15" t="str">
        <x:v>NO_APLICA</x:v>
      </x:c>
      <x:c r="P73" s="15" t="str">
        <x:v>Oxford DEMO</x:v>
      </x:c>
      <x:c r="Q73" s="15" t="str">
        <x:v>NO_APLICA</x:v>
      </x:c>
      <x:c r="R73" s="15" t="str">
        <x:v>m² equivalente DEMO</x:v>
      </x:c>
      <x:c r="S73" s="15" t="n">
        <x:v>0.55</x:v>
      </x:c>
      <x:c r="T73" s="15" t="n">
        <x:v>11</x:v>
      </x:c>
      <x:c r="U73" s="15" t="n">
        <x:v>9</x:v>
      </x:c>
      <x:c r="V73" s="15" t="n">
        <x:v>2</x:v>
      </x:c>
      <x:c r="W73" s="15" t="str">
        <x:v>FALTANTE_EN_ESCENARIO</x:v>
      </x:c>
      <x:c r="X73" s="15" t="n">
        <x:v>155</x:v>
      </x:c>
      <x:c r="Y73" s="15" t="n">
        <x:v>3100</x:v>
      </x:c>
      <x:c r="Z73" s="15" t="n">
        <x:v>431.21</x:v>
      </x:c>
      <x:c r="AA73" s="28" t="n">
        <x:v>2668.79</x:v>
      </x:c>
      <x:c r="AB73" s="15" t="n">
        <x:v>38</x:v>
      </x:c>
      <x:c r="AC73" s="28" t="n">
        <x:v>418</x:v>
      </x:c>
      <x:c r="AD73" s="28" t="n">
        <x:v>2250.79</x:v>
      </x:c>
      <x:c r="AE73" s="15" t="str">
        <x:v>REVISAR_DATOS</x:v>
      </x:c>
      <x:c r="AF73" s="15" t="str">
        <x:v>true</x:v>
      </x:c>
    </x:row>
    <x:row r="74">
      <x:c r="A74" s="15" t="str">
        <x:v>SYN-073</x:v>
      </x:c>
      <x:c r="B74" s="15" t="str">
        <x:v>Carpas</x:v>
      </x:c>
      <x:c r="C74" s="15" t="n">
        <x:v>1.02</x:v>
      </x:c>
      <x:c r="D74" s="15" t="n">
        <x:v>1</x:v>
      </x:c>
      <x:c r="E74" s="15" t="n">
        <x:v>1</x:v>
      </x:c>
      <x:c r="F74" s="15" t="n">
        <x:v>51</x:v>
      </x:c>
      <x:c r="G74" s="15" t="n">
        <x:v>37</x:v>
      </x:c>
      <x:c r="H74" s="15" t="n">
        <x:v>13</x:v>
      </x:c>
      <x:c r="I74" s="15" t="str">
        <x:v>CONCRETADA</x:v>
      </x:c>
      <x:c r="J74" s="15" t="n">
        <x:v>1</x:v>
      </x:c>
      <x:c r="K74" s="15" t="str">
        <x:v>true</x:v>
      </x:c>
      <x:c r="L74" s="15" t="n">
        <x:v>2209.3</x:v>
      </x:c>
      <x:c r="M74" s="15" t="n">
        <x:v>2</x:v>
      </x:c>
      <x:c r="N74" s="15" t="n">
        <x:v>2</x:v>
      </x:c>
      <x:c r="O74" s="15" t="str">
        <x:v>CERRADA</x:v>
      </x:c>
      <x:c r="P74" s="15" t="str">
        <x:v>Lino liviano DEMO</x:v>
      </x:c>
      <x:c r="Q74" s="15" t="str">
        <x:v>LIVIANO</x:v>
      </x:c>
      <x:c r="R74" s="15" t="str">
        <x:v>m² simulado</x:v>
      </x:c>
      <x:c r="S74" s="15" t="n">
        <x:v>1.55</x:v>
      </x:c>
      <x:c r="T74" s="15" t="n">
        <x:v>6.2</x:v>
      </x:c>
      <x:c r="U74" s="15" t="n">
        <x:v>28</x:v>
      </x:c>
      <x:c r="V74" s="15" t="n">
        <x:v>0</x:v>
      </x:c>
      <x:c r="W74" s="15" t="str">
        <x:v>SUFICIENTE_EN_ESCENARIO</x:v>
      </x:c>
      <x:c r="X74" s="15" t="n">
        <x:v>108</x:v>
      </x:c>
      <x:c r="Y74" s="15" t="n">
        <x:v>583.2</x:v>
      </x:c>
      <x:c r="Z74" s="15" t="n">
        <x:v>5.95</x:v>
      </x:c>
      <x:c r="AA74" s="28" t="n">
        <x:v>577.25</x:v>
      </x:c>
      <x:c r="AB74" s="15" t="n">
        <x:v>22</x:v>
      </x:c>
      <x:c r="AC74" s="28" t="n">
        <x:v>136.4</x:v>
      </x:c>
      <x:c r="AD74" s="28" t="n">
        <x:v>440.85</x:v>
      </x:c>
      <x:c r="AE74" s="15" t="str">
        <x:v>FACTIBLE_CON_REGLAS_SINTETICAS</x:v>
      </x:c>
      <x:c r="AF74" s="15" t="str">
        <x:v>true</x:v>
      </x:c>
    </x:row>
    <x:row r="75">
      <x:c r="A75" s="15" t="str">
        <x:v>SYN-074</x:v>
      </x:c>
      <x:c r="B75" s="15" t="str">
        <x:v>Toldos</x:v>
      </x:c>
      <x:c r="C75" s="15" t="n">
        <x:v>8.54</x:v>
      </x:c>
      <x:c r="D75" s="15" t="n">
        <x:v>0</x:v>
      </x:c>
      <x:c r="E75" s="15" t="n">
        <x:v>0</x:v>
      </x:c>
      <x:c r="F75" s="15" t="n">
        <x:v>41</x:v>
      </x:c>
      <x:c r="G75" s="15" t="n">
        <x:v>22</x:v>
      </x:c>
      <x:c r="H75" s="15" t="n">
        <x:v>10</x:v>
      </x:c>
      <x:c r="I75" s="15" t="str">
        <x:v>CONCRETADA</x:v>
      </x:c>
      <x:c r="J75" s="15" t="n">
        <x:v>1</x:v>
      </x:c>
      <x:c r="K75" s="15" t="str">
        <x:v>true</x:v>
      </x:c>
      <x:c r="L75" s="15" t="n">
        <x:v>7641.31</x:v>
      </x:c>
      <x:c r="M75" s="15" t="n">
        <x:v>3</x:v>
      </x:c>
      <x:c r="N75" s="15" t="n">
        <x:v>2</x:v>
      </x:c>
      <x:c r="O75" s="15" t="str">
        <x:v>NO_APLICA</x:v>
      </x:c>
      <x:c r="P75" s="15" t="str">
        <x:v>Lona orillo rojo DEMO</x:v>
      </x:c>
      <x:c r="Q75" s="15" t="str">
        <x:v>ESTANDAR</x:v>
      </x:c>
      <x:c r="R75" s="15" t="str">
        <x:v>m² simulado</x:v>
      </x:c>
      <x:c r="S75" s="15" t="n">
        <x:v>1.1</x:v>
      </x:c>
      <x:c r="T75" s="15" t="n">
        <x:v>6.6</x:v>
      </x:c>
      <x:c r="U75" s="15" t="n">
        <x:v>18</x:v>
      </x:c>
      <x:c r="V75" s="15" t="n">
        <x:v>0</x:v>
      </x:c>
      <x:c r="W75" s="15" t="str">
        <x:v>SUFICIENTE_EN_ESCENARIO</x:v>
      </x:c>
      <x:c r="X75" s="15" t="n">
        <x:v>122</x:v>
      </x:c>
      <x:c r="Y75" s="15" t="n">
        <x:v>732</x:v>
      </x:c>
      <x:c r="Z75" s="15" t="n">
        <x:v>62.51</x:v>
      </x:c>
      <x:c r="AA75" s="28" t="n">
        <x:v>669.49</x:v>
      </x:c>
      <x:c r="AB75" s="15" t="n">
        <x:v>26</x:v>
      </x:c>
      <x:c r="AC75" s="28" t="n">
        <x:v>171.6</x:v>
      </x:c>
      <x:c r="AD75" s="28" t="n">
        <x:v>497.89</x:v>
      </x:c>
      <x:c r="AE75" s="15" t="str">
        <x:v>REVISAR_DATOS</x:v>
      </x:c>
      <x:c r="AF75" s="15" t="str">
        <x:v>true</x:v>
      </x:c>
    </x:row>
    <x:row r="76">
      <x:c r="A76" s="15" t="str">
        <x:v>SYN-075</x:v>
      </x:c>
      <x:c r="B76" s="15" t="str">
        <x:v>Tapizado de moto</x:v>
      </x:c>
      <x:c r="C76" s="15" t="n">
        <x:v>12.96</x:v>
      </x:c>
      <x:c r="D76" s="15" t="n">
        <x:v>1</x:v>
      </x:c>
      <x:c r="E76" s="15" t="n">
        <x:v>1</x:v>
      </x:c>
      <x:c r="F76" s="15" t="n">
        <x:v>8</x:v>
      </x:c>
      <x:c r="G76" s="15" t="n">
        <x:v>84</x:v>
      </x:c>
      <x:c r="H76" s="15" t="n">
        <x:v>8</x:v>
      </x:c>
      <x:c r="I76" s="15" t="str">
        <x:v>CONCRETADA</x:v>
      </x:c>
      <x:c r="J76" s="15" t="n">
        <x:v>1</x:v>
      </x:c>
      <x:c r="K76" s="15" t="str">
        <x:v>true</x:v>
      </x:c>
      <x:c r="L76" s="15" t="n">
        <x:v>4462.19</x:v>
      </x:c>
      <x:c r="M76" s="15" t="n">
        <x:v>3</x:v>
      </x:c>
      <x:c r="N76" s="15" t="n">
        <x:v>3</x:v>
      </x:c>
      <x:c r="O76" s="15" t="str">
        <x:v>NO_APLICA</x:v>
      </x:c>
      <x:c r="P76" s="15" t="str">
        <x:v>Oxford DEMO</x:v>
      </x:c>
      <x:c r="Q76" s="15" t="str">
        <x:v>NO_APLICA</x:v>
      </x:c>
      <x:c r="R76" s="15" t="str">
        <x:v>m² equivalente DEMO</x:v>
      </x:c>
      <x:c r="S76" s="15" t="n">
        <x:v>0.55</x:v>
      </x:c>
      <x:c r="T76" s="15" t="n">
        <x:v>4.95</x:v>
      </x:c>
      <x:c r="U76" s="15" t="n">
        <x:v>9</x:v>
      </x:c>
      <x:c r="V76" s="15" t="n">
        <x:v>0</x:v>
      </x:c>
      <x:c r="W76" s="15" t="str">
        <x:v>SUFICIENTE_EN_ESCENARIO</x:v>
      </x:c>
      <x:c r="X76" s="15" t="n">
        <x:v>155</x:v>
      </x:c>
      <x:c r="Y76" s="15" t="n">
        <x:v>1395</x:v>
      </x:c>
      <x:c r="Z76" s="15" t="n">
        <x:v>180.79</x:v>
      </x:c>
      <x:c r="AA76" s="28" t="n">
        <x:v>1214.21</x:v>
      </x:c>
      <x:c r="AB76" s="15" t="n">
        <x:v>38</x:v>
      </x:c>
      <x:c r="AC76" s="28" t="n">
        <x:v>188.1</x:v>
      </x:c>
      <x:c r="AD76" s="28" t="n">
        <x:v>1026.11</x:v>
      </x:c>
      <x:c r="AE76" s="15" t="str">
        <x:v>FACTIBLE_CON_REGLAS_SINTETICAS</x:v>
      </x:c>
      <x:c r="AF76" s="15" t="str">
        <x:v>true</x:v>
      </x:c>
    </x:row>
    <x:row r="77">
      <x:c r="A77" s="15" t="str">
        <x:v>SYN-076</x:v>
      </x:c>
      <x:c r="B77" s="15" t="str">
        <x:v>Carpas</x:v>
      </x:c>
      <x:c r="C77" s="15" t="n">
        <x:v>0.82</x:v>
      </x:c>
      <x:c r="D77" s="15" t="n">
        <x:v>1</x:v>
      </x:c>
      <x:c r="E77" s="15" t="n">
        <x:v>1</x:v>
      </x:c>
      <x:c r="F77" s="15" t="n">
        <x:v>54</x:v>
      </x:c>
      <x:c r="G77" s="15" t="n">
        <x:v>48</x:v>
      </x:c>
      <x:c r="H77" s="15" t="n">
        <x:v>14</x:v>
      </x:c>
      <x:c r="I77" s="15" t="str">
        <x:v>CONCRETADA</x:v>
      </x:c>
      <x:c r="J77" s="15" t="n">
        <x:v>1</x:v>
      </x:c>
      <x:c r="K77" s="15" t="str">
        <x:v>true</x:v>
      </x:c>
      <x:c r="L77" s="15" t="n">
        <x:v>6566.67</x:v>
      </x:c>
      <x:c r="M77" s="15" t="n">
        <x:v>5</x:v>
      </x:c>
      <x:c r="N77" s="15" t="n">
        <x:v>4</x:v>
      </x:c>
      <x:c r="O77" s="15" t="str">
        <x:v>ABIERTA</x:v>
      </x:c>
      <x:c r="P77" s="15" t="str">
        <x:v>Lino liviano DEMO</x:v>
      </x:c>
      <x:c r="Q77" s="15" t="str">
        <x:v>LIVIANO</x:v>
      </x:c>
      <x:c r="R77" s="15" t="str">
        <x:v>m² simulado</x:v>
      </x:c>
      <x:c r="S77" s="15" t="n">
        <x:v>1.12</x:v>
      </x:c>
      <x:c r="T77" s="15" t="n">
        <x:v>22.4</x:v>
      </x:c>
      <x:c r="U77" s="15" t="n">
        <x:v>28</x:v>
      </x:c>
      <x:c r="V77" s="15" t="n">
        <x:v>0</x:v>
      </x:c>
      <x:c r="W77" s="15" t="str">
        <x:v>SUFICIENTE_EN_ESCENARIO</x:v>
      </x:c>
      <x:c r="X77" s="15" t="n">
        <x:v>108</x:v>
      </x:c>
      <x:c r="Y77" s="15" t="n">
        <x:v>2160</x:v>
      </x:c>
      <x:c r="Z77" s="15" t="n">
        <x:v>17.71</x:v>
      </x:c>
      <x:c r="AA77" s="28" t="n">
        <x:v>2142.29</x:v>
      </x:c>
      <x:c r="AB77" s="15" t="n">
        <x:v>22</x:v>
      </x:c>
      <x:c r="AC77" s="28" t="n">
        <x:v>492.8</x:v>
      </x:c>
      <x:c r="AD77" s="28" t="n">
        <x:v>1649.49</x:v>
      </x:c>
      <x:c r="AE77" s="15" t="str">
        <x:v>FACTIBLE_CON_REGLAS_SINTETICAS</x:v>
      </x:c>
      <x:c r="AF77" s="15" t="str">
        <x:v>true</x:v>
      </x:c>
    </x:row>
    <x:row r="78">
      <x:c r="A78" s="15" t="str">
        <x:v>SYN-077</x:v>
      </x:c>
      <x:c r="B78" s="15" t="str">
        <x:v>Toldos</x:v>
      </x:c>
      <x:c r="C78" s="15" t="n">
        <x:v>7.43</x:v>
      </x:c>
      <x:c r="D78" s="15" t="n">
        <x:v>1</x:v>
      </x:c>
      <x:c r="E78" s="15" t="n">
        <x:v>1</x:v>
      </x:c>
      <x:c r="F78" s="15" t="n">
        <x:v>61</x:v>
      </x:c>
      <x:c r="G78" s="15" t="n">
        <x:v>21</x:v>
      </x:c>
      <x:c r="H78" s="15" t="n">
        <x:v>4</x:v>
      </x:c>
      <x:c r="I78" s="15" t="str">
        <x:v>NO_CONCRETADA</x:v>
      </x:c>
      <x:c r="J78" s="15" t="n">
        <x:v>0</x:v>
      </x:c>
      <x:c r="K78" s="15" t="str">
        <x:v>true</x:v>
      </x:c>
      <x:c r="L78" s="15" t="n">
        <x:v>8373.55</x:v>
      </x:c>
      <x:c r="M78" s="15" t="n">
        <x:v>6</x:v>
      </x:c>
      <x:c r="N78" s="15" t="n">
        <x:v>4</x:v>
      </x:c>
      <x:c r="O78" s="15" t="str">
        <x:v>NO_APLICA</x:v>
      </x:c>
      <x:c r="P78" s="15" t="str">
        <x:v>Lona orillo azul DEMO</x:v>
      </x:c>
      <x:c r="Q78" s="15" t="str">
        <x:v>ESTANDAR</x:v>
      </x:c>
      <x:c r="R78" s="15" t="str">
        <x:v>m² simulado</x:v>
      </x:c>
      <x:c r="S78" s="15" t="n">
        <x:v>1.1</x:v>
      </x:c>
      <x:c r="T78" s="15" t="n">
        <x:v>26.4</x:v>
      </x:c>
      <x:c r="U78" s="15" t="n">
        <x:v>22</x:v>
      </x:c>
      <x:c r="V78" s="15" t="n">
        <x:v>4.4</x:v>
      </x:c>
      <x:c r="W78" s="15" t="str">
        <x:v>FALTANTE_EN_ESCENARIO</x:v>
      </x:c>
      <x:c r="X78" s="15" t="n">
        <x:v>120</x:v>
      </x:c>
      <x:c r="Y78" s="15" t="n">
        <x:v>2880</x:v>
      </x:c>
      <x:c r="Z78" s="15" t="n">
        <x:v>213.98</x:v>
      </x:c>
      <x:c r="AA78" s="28" t="n">
        <x:v>2666.02</x:v>
      </x:c>
      <x:c r="AB78" s="15" t="n">
        <x:v>25</x:v>
      </x:c>
      <x:c r="AC78" s="28" t="n">
        <x:v>660</x:v>
      </x:c>
      <x:c r="AD78" s="28" t="n">
        <x:v>2006.02</x:v>
      </x:c>
      <x:c r="AE78" s="15" t="str">
        <x:v>FALTA_STOCK</x:v>
      </x:c>
      <x:c r="AF78" s="15" t="str">
        <x:v>true</x:v>
      </x:c>
    </x:row>
    <x:row r="79">
      <x:c r="A79" s="15" t="str">
        <x:v>SYN-078</x:v>
      </x:c>
      <x:c r="B79" s="15" t="str">
        <x:v>Tapizado de moto</x:v>
      </x:c>
      <x:c r="C79" s="15" t="n">
        <x:v>10.08</x:v>
      </x:c>
      <x:c r="D79" s="15" t="n">
        <x:v>0</x:v>
      </x:c>
      <x:c r="E79" s="15" t="n">
        <x:v>0</x:v>
      </x:c>
      <x:c r="F79" s="15" t="n">
        <x:v>46</x:v>
      </x:c>
      <x:c r="G79" s="15" t="n">
        <x:v>6</x:v>
      </x:c>
      <x:c r="H79" s="15" t="n">
        <x:v>16</x:v>
      </x:c>
      <x:c r="I79" s="15" t="str">
        <x:v>CONCRETADA</x:v>
      </x:c>
      <x:c r="J79" s="15" t="n">
        <x:v>1</x:v>
      </x:c>
      <x:c r="K79" s="15" t="str">
        <x:v>true</x:v>
      </x:c>
      <x:c r="L79" s="15" t="n">
        <x:v>702.32</x:v>
      </x:c>
      <x:c r="M79" s="15" t="n">
        <x:v>6</x:v>
      </x:c>
      <x:c r="N79" s="15" t="n">
        <x:v>4</x:v>
      </x:c>
      <x:c r="O79" s="15" t="str">
        <x:v>NO_APLICA</x:v>
      </x:c>
      <x:c r="P79" s="15" t="str">
        <x:v>Oxford DEMO</x:v>
      </x:c>
      <x:c r="Q79" s="15" t="str">
        <x:v>NO_APLICA</x:v>
      </x:c>
      <x:c r="R79" s="15" t="str">
        <x:v>m² equivalente DEMO</x:v>
      </x:c>
      <x:c r="S79" s="15" t="n">
        <x:v>0.55</x:v>
      </x:c>
      <x:c r="T79" s="15" t="n">
        <x:v>13.2</x:v>
      </x:c>
      <x:c r="U79" s="15" t="n">
        <x:v>9</x:v>
      </x:c>
      <x:c r="V79" s="15" t="n">
        <x:v>4.2</x:v>
      </x:c>
      <x:c r="W79" s="15" t="str">
        <x:v>FALTANTE_EN_ESCENARIO</x:v>
      </x:c>
      <x:c r="X79" s="15" t="n">
        <x:v>155</x:v>
      </x:c>
      <x:c r="Y79" s="15" t="n">
        <x:v>3720</x:v>
      </x:c>
      <x:c r="Z79" s="15" t="n">
        <x:v>374.98</x:v>
      </x:c>
      <x:c r="AA79" s="28" t="n">
        <x:v>3345.02</x:v>
      </x:c>
      <x:c r="AB79" s="15" t="n">
        <x:v>38</x:v>
      </x:c>
      <x:c r="AC79" s="28" t="n">
        <x:v>501.6</x:v>
      </x:c>
      <x:c r="AD79" s="28" t="n">
        <x:v>2843.42</x:v>
      </x:c>
      <x:c r="AE79" s="15" t="str">
        <x:v>REVISAR_DATOS</x:v>
      </x:c>
      <x:c r="AF79" s="15" t="str">
        <x:v>true</x:v>
      </x:c>
    </x:row>
    <x:row r="80">
      <x:c r="A80" s="15" t="str">
        <x:v>SYN-079</x:v>
      </x:c>
      <x:c r="B80" s="15" t="str">
        <x:v>Carpas</x:v>
      </x:c>
      <x:c r="C80" s="15" t="n">
        <x:v>8.17</x:v>
      </x:c>
      <x:c r="D80" s="15" t="n">
        <x:v>0</x:v>
      </x:c>
      <x:c r="E80" s="15" t="n">
        <x:v>0</x:v>
      </x:c>
      <x:c r="F80" s="15" t="n">
        <x:v>62</x:v>
      </x:c>
      <x:c r="G80" s="15" t="n">
        <x:v>37</x:v>
      </x:c>
      <x:c r="H80" s="15" t="n">
        <x:v>8</x:v>
      </x:c>
      <x:c r="I80" s="15" t="str">
        <x:v>NO_CONCRETADA</x:v>
      </x:c>
      <x:c r="J80" s="15" t="n">
        <x:v>0</x:v>
      </x:c>
      <x:c r="K80" s="15" t="str">
        <x:v>true</x:v>
      </x:c>
      <x:c r="L80" s="15" t="n">
        <x:v>6307.2</x:v>
      </x:c>
      <x:c r="M80" s="15" t="n">
        <x:v>3</x:v>
      </x:c>
      <x:c r="N80" s="15" t="n">
        <x:v>3</x:v>
      </x:c>
      <x:c r="O80" s="15" t="str">
        <x:v>ABIERTA</x:v>
      </x:c>
      <x:c r="P80" s="15" t="str">
        <x:v>Lino económico DEMO</x:v>
      </x:c>
      <x:c r="Q80" s="15" t="str">
        <x:v>ECONOMICO</x:v>
      </x:c>
      <x:c r="R80" s="15" t="str">
        <x:v>m² simulado</x:v>
      </x:c>
      <x:c r="S80" s="15" t="n">
        <x:v>1.12</x:v>
      </x:c>
      <x:c r="T80" s="15" t="n">
        <x:v>10.08</x:v>
      </x:c>
      <x:c r="U80" s="15" t="n">
        <x:v>32</x:v>
      </x:c>
      <x:c r="V80" s="15" t="n">
        <x:v>0</x:v>
      </x:c>
      <x:c r="W80" s="15" t="str">
        <x:v>SUFICIENTE_EN_ESCENARIO</x:v>
      </x:c>
      <x:c r="X80" s="15" t="n">
        <x:v>95</x:v>
      </x:c>
      <x:c r="Y80" s="15" t="n">
        <x:v>855</x:v>
      </x:c>
      <x:c r="Z80" s="15" t="n">
        <x:v>69.85</x:v>
      </x:c>
      <x:c r="AA80" s="28" t="n">
        <x:v>785.15</x:v>
      </x:c>
      <x:c r="AB80" s="15" t="n">
        <x:v>18</x:v>
      </x:c>
      <x:c r="AC80" s="28" t="n">
        <x:v>181.44</x:v>
      </x:c>
      <x:c r="AD80" s="28" t="n">
        <x:v>603.71</x:v>
      </x:c>
      <x:c r="AE80" s="15" t="str">
        <x:v>REVISAR_DATOS</x:v>
      </x:c>
      <x:c r="AF80" s="15" t="str">
        <x:v>true</x:v>
      </x:c>
    </x:row>
    <x:row r="81">
      <x:c r="A81" s="15" t="str">
        <x:v>SYN-080</x:v>
      </x:c>
      <x:c r="B81" s="15" t="str">
        <x:v>Toldos</x:v>
      </x:c>
      <x:c r="C81" s="15" t="n">
        <x:v>9.46</x:v>
      </x:c>
      <x:c r="D81" s="15" t="n">
        <x:v>1</x:v>
      </x:c>
      <x:c r="E81" s="15" t="n">
        <x:v>1</x:v>
      </x:c>
      <x:c r="F81" s="15" t="n">
        <x:v>23</x:v>
      </x:c>
      <x:c r="G81" s="15" t="n">
        <x:v>53</x:v>
      </x:c>
      <x:c r="H81" s="15" t="n">
        <x:v>3</x:v>
      </x:c>
      <x:c r="I81" s="15" t="str">
        <x:v>CONCRETADA</x:v>
      </x:c>
      <x:c r="J81" s="15" t="n">
        <x:v>1</x:v>
      </x:c>
      <x:c r="K81" s="15" t="str">
        <x:v>true</x:v>
      </x:c>
      <x:c r="L81" s="15" t="n">
        <x:v>7521.13</x:v>
      </x:c>
      <x:c r="M81" s="15" t="n">
        <x:v>5</x:v>
      </x:c>
      <x:c r="N81" s="15" t="n">
        <x:v>4</x:v>
      </x:c>
      <x:c r="O81" s="15" t="str">
        <x:v>NO_APLICA</x:v>
      </x:c>
      <x:c r="P81" s="15" t="str">
        <x:v>Lona orillo azul DEMO</x:v>
      </x:c>
      <x:c r="Q81" s="15" t="str">
        <x:v>ESTANDAR</x:v>
      </x:c>
      <x:c r="R81" s="15" t="str">
        <x:v>m² simulado</x:v>
      </x:c>
      <x:c r="S81" s="15" t="n">
        <x:v>1.1</x:v>
      </x:c>
      <x:c r="T81" s="15" t="n">
        <x:v>22</x:v>
      </x:c>
      <x:c r="U81" s="15" t="n">
        <x:v>22</x:v>
      </x:c>
      <x:c r="V81" s="15" t="n">
        <x:v>0</x:v>
      </x:c>
      <x:c r="W81" s="15" t="str">
        <x:v>SUFICIENTE_EN_ESCENARIO</x:v>
      </x:c>
      <x:c r="X81" s="15" t="n">
        <x:v>120</x:v>
      </x:c>
      <x:c r="Y81" s="15" t="n">
        <x:v>2400</x:v>
      </x:c>
      <x:c r="Z81" s="15" t="n">
        <x:v>227.04</x:v>
      </x:c>
      <x:c r="AA81" s="28" t="n">
        <x:v>2172.96</x:v>
      </x:c>
      <x:c r="AB81" s="15" t="n">
        <x:v>25</x:v>
      </x:c>
      <x:c r="AC81" s="28" t="n">
        <x:v>550</x:v>
      </x:c>
      <x:c r="AD81" s="28" t="n">
        <x:v>1622.96</x:v>
      </x:c>
      <x:c r="AE81" s="15" t="str">
        <x:v>FACTIBLE_CON_REGLAS_SINTETICAS</x:v>
      </x:c>
      <x:c r="AF81" s="15" t="str">
        <x:v>true</x:v>
      </x:c>
    </x:row>
    <x:row r="82">
      <x:c r="A82" s="15" t="str">
        <x:v>SYN-081</x:v>
      </x:c>
      <x:c r="B82" s="15" t="str">
        <x:v>Tapizado de moto</x:v>
      </x:c>
      <x:c r="C82" s="15" t="n">
        <x:v>9.92</x:v>
      </x:c>
      <x:c r="D82" s="15" t="n">
        <x:v>1</x:v>
      </x:c>
      <x:c r="E82" s="15" t="n">
        <x:v>1</x:v>
      </x:c>
      <x:c r="F82" s="15" t="n">
        <x:v>56</x:v>
      </x:c>
      <x:c r="G82" s="15" t="n">
        <x:v>63</x:v>
      </x:c>
      <x:c r="H82" s="15" t="n">
        <x:v>14</x:v>
      </x:c>
      <x:c r="I82" s="15" t="str">
        <x:v>CONCRETADA</x:v>
      </x:c>
      <x:c r="J82" s="15" t="n">
        <x:v>1</x:v>
      </x:c>
      <x:c r="K82" s="15" t="str">
        <x:v>true</x:v>
      </x:c>
      <x:c r="L82" s="15" t="n">
        <x:v>328.23</x:v>
      </x:c>
      <x:c r="M82" s="15" t="n">
        <x:v>6</x:v>
      </x:c>
      <x:c r="N82" s="15" t="n">
        <x:v>4</x:v>
      </x:c>
      <x:c r="O82" s="15" t="str">
        <x:v>NO_APLICA</x:v>
      </x:c>
      <x:c r="P82" s="15" t="str">
        <x:v>Oxford DEMO</x:v>
      </x:c>
      <x:c r="Q82" s="15" t="str">
        <x:v>NO_APLICA</x:v>
      </x:c>
      <x:c r="R82" s="15" t="str">
        <x:v>m² equivalente DEMO</x:v>
      </x:c>
      <x:c r="S82" s="15" t="n">
        <x:v>0.55</x:v>
      </x:c>
      <x:c r="T82" s="15" t="n">
        <x:v>13.2</x:v>
      </x:c>
      <x:c r="U82" s="15" t="n">
        <x:v>9</x:v>
      </x:c>
      <x:c r="V82" s="15" t="n">
        <x:v>4.2</x:v>
      </x:c>
      <x:c r="W82" s="15" t="str">
        <x:v>FALTANTE_EN_ESCENARIO</x:v>
      </x:c>
      <x:c r="X82" s="15" t="n">
        <x:v>155</x:v>
      </x:c>
      <x:c r="Y82" s="15" t="n">
        <x:v>3720</x:v>
      </x:c>
      <x:c r="Z82" s="15" t="n">
        <x:v>369.02</x:v>
      </x:c>
      <x:c r="AA82" s="28" t="n">
        <x:v>3350.98</x:v>
      </x:c>
      <x:c r="AB82" s="15" t="n">
        <x:v>38</x:v>
      </x:c>
      <x:c r="AC82" s="28" t="n">
        <x:v>501.6</x:v>
      </x:c>
      <x:c r="AD82" s="28" t="n">
        <x:v>2849.38</x:v>
      </x:c>
      <x:c r="AE82" s="15" t="str">
        <x:v>FALTA_STOCK</x:v>
      </x:c>
      <x:c r="AF82" s="15" t="str">
        <x:v>true</x:v>
      </x:c>
    </x:row>
    <x:row r="83">
      <x:c r="A83" s="15" t="str">
        <x:v>SYN-082</x:v>
      </x:c>
      <x:c r="B83" s="15" t="str">
        <x:v>Carpas</x:v>
      </x:c>
      <x:c r="C83" s="15" t="n">
        <x:v>2.89</x:v>
      </x:c>
      <x:c r="D83" s="15" t="n">
        <x:v>1</x:v>
      </x:c>
      <x:c r="E83" s="15" t="n">
        <x:v>1</x:v>
      </x:c>
      <x:c r="F83" s="15" t="n">
        <x:v>40</x:v>
      </x:c>
      <x:c r="G83" s="15" t="n">
        <x:v>23</x:v>
      </x:c>
      <x:c r="H83" s="15" t="n">
        <x:v>6</x:v>
      </x:c>
      <x:c r="I83" s="15" t="str">
        <x:v>CONCRETADA</x:v>
      </x:c>
      <x:c r="J83" s="15" t="n">
        <x:v>1</x:v>
      </x:c>
      <x:c r="K83" s="15" t="str">
        <x:v>true</x:v>
      </x:c>
      <x:c r="L83" s="15" t="n">
        <x:v>1954.74</x:v>
      </x:c>
      <x:c r="M83" s="15" t="n">
        <x:v>5</x:v>
      </x:c>
      <x:c r="N83" s="15" t="n">
        <x:v>4</x:v>
      </x:c>
      <x:c r="O83" s="15" t="str">
        <x:v>ABIERTA</x:v>
      </x:c>
      <x:c r="P83" s="15" t="str">
        <x:v>Lino pesado DEMO</x:v>
      </x:c>
      <x:c r="Q83" s="15" t="str">
        <x:v>PESADO</x:v>
      </x:c>
      <x:c r="R83" s="15" t="str">
        <x:v>m² simulado</x:v>
      </x:c>
      <x:c r="S83" s="15" t="n">
        <x:v>1.12</x:v>
      </x:c>
      <x:c r="T83" s="15" t="n">
        <x:v>22.4</x:v>
      </x:c>
      <x:c r="U83" s="15" t="n">
        <x:v>20</x:v>
      </x:c>
      <x:c r="V83" s="15" t="n">
        <x:v>2.4</x:v>
      </x:c>
      <x:c r="W83" s="15" t="str">
        <x:v>FALTANTE_EN_ESCENARIO</x:v>
      </x:c>
      <x:c r="X83" s="15" t="n">
        <x:v>125</x:v>
      </x:c>
      <x:c r="Y83" s="15" t="n">
        <x:v>2500</x:v>
      </x:c>
      <x:c r="Z83" s="15" t="n">
        <x:v>72.25</x:v>
      </x:c>
      <x:c r="AA83" s="28" t="n">
        <x:v>2427.75</x:v>
      </x:c>
      <x:c r="AB83" s="15" t="n">
        <x:v>29</x:v>
      </x:c>
      <x:c r="AC83" s="28" t="n">
        <x:v>649.6</x:v>
      </x:c>
      <x:c r="AD83" s="28" t="n">
        <x:v>1778.15</x:v>
      </x:c>
      <x:c r="AE83" s="15" t="str">
        <x:v>FALTA_STOCK</x:v>
      </x:c>
      <x:c r="AF83" s="15" t="str">
        <x:v>true</x:v>
      </x:c>
    </x:row>
    <x:row r="84">
      <x:c r="A84" s="15" t="str">
        <x:v>SYN-083</x:v>
      </x:c>
      <x:c r="B84" s="15" t="str">
        <x:v>Toldos</x:v>
      </x:c>
      <x:c r="C84" s="15" t="n">
        <x:v>14.55</x:v>
      </x:c>
      <x:c r="D84" s="15" t="n">
        <x:v>1</x:v>
      </x:c>
      <x:c r="E84" s="15" t="n">
        <x:v>0</x:v>
      </x:c>
      <x:c r="F84" s="15" t="n">
        <x:v>19</x:v>
      </x:c>
      <x:c r="G84" s="15" t="n">
        <x:v>22</x:v>
      </x:c>
      <x:c r="H84" s="15" t="n">
        <x:v>4</x:v>
      </x:c>
      <x:c r="I84" s="15" t="str">
        <x:v>NO_CONCRETADA</x:v>
      </x:c>
      <x:c r="J84" s="15" t="n">
        <x:v>0</x:v>
      </x:c>
      <x:c r="K84" s="15" t="str">
        <x:v>true</x:v>
      </x:c>
      <x:c r="L84" s="15" t="n">
        <x:v>4285.61</x:v>
      </x:c>
      <x:c r="M84" s="15" t="n">
        <x:v>6</x:v>
      </x:c>
      <x:c r="N84" s="15" t="n">
        <x:v>4</x:v>
      </x:c>
      <x:c r="O84" s="15" t="str">
        <x:v>NO_APLICA</x:v>
      </x:c>
      <x:c r="P84" s="15" t="str">
        <x:v>Tarflex DEMO</x:v>
      </x:c>
      <x:c r="Q84" s="15" t="str">
        <x:v>ESTANDAR</x:v>
      </x:c>
      <x:c r="R84" s="15" t="str">
        <x:v>m² simulado</x:v>
      </x:c>
      <x:c r="S84" s="15" t="n">
        <x:v>1.1</x:v>
      </x:c>
      <x:c r="T84" s="15" t="n">
        <x:v>26.4</x:v>
      </x:c>
      <x:c r="U84" s="15" t="n">
        <x:v>24</x:v>
      </x:c>
      <x:c r="V84" s="15" t="n">
        <x:v>2.4</x:v>
      </x:c>
      <x:c r="W84" s="15" t="str">
        <x:v>FALTANTE_EN_ESCENARIO</x:v>
      </x:c>
      <x:c r="X84" s="15" t="n">
        <x:v>112</x:v>
      </x:c>
      <x:c r="Y84" s="15" t="n">
        <x:v>2688</x:v>
      </x:c>
      <x:c r="Z84" s="15" t="n">
        <x:v>391.1</x:v>
      </x:c>
      <x:c r="AA84" s="28" t="n">
        <x:v>2296.9</x:v>
      </x:c>
      <x:c r="AB84" s="15" t="n">
        <x:v>23</x:v>
      </x:c>
      <x:c r="AC84" s="28" t="n">
        <x:v>607.2</x:v>
      </x:c>
      <x:c r="AD84" s="28" t="n">
        <x:v>1689.7</x:v>
      </x:c>
      <x:c r="AE84" s="15" t="str">
        <x:v>FALTA_STOCK</x:v>
      </x:c>
      <x:c r="AF84" s="15" t="str">
        <x:v>true</x:v>
      </x:c>
    </x:row>
    <x:row r="85">
      <x:c r="A85" s="15" t="str">
        <x:v>SYN-084</x:v>
      </x:c>
      <x:c r="B85" s="15" t="str">
        <x:v>Tapizado de moto</x:v>
      </x:c>
      <x:c r="C85" s="15" t="n">
        <x:v>12.74</x:v>
      </x:c>
      <x:c r="D85" s="15" t="n">
        <x:v>1</x:v>
      </x:c>
      <x:c r="E85" s="15" t="n">
        <x:v>1</x:v>
      </x:c>
      <x:c r="F85" s="15" t="n">
        <x:v>21</x:v>
      </x:c>
      <x:c r="G85" s="15" t="n">
        <x:v>28</x:v>
      </x:c>
      <x:c r="H85" s="15" t="n">
        <x:v>1</x:v>
      </x:c>
      <x:c r="I85" s="15" t="str">
        <x:v>NO_CONCRETADA</x:v>
      </x:c>
      <x:c r="J85" s="15" t="n">
        <x:v>0</x:v>
      </x:c>
      <x:c r="K85" s="15" t="str">
        <x:v>true</x:v>
      </x:c>
      <x:c r="L85" s="15" t="n">
        <x:v>8145.69</x:v>
      </x:c>
      <x:c r="M85" s="15" t="n">
        <x:v>6</x:v>
      </x:c>
      <x:c r="N85" s="15" t="n">
        <x:v>4</x:v>
      </x:c>
      <x:c r="O85" s="15" t="str">
        <x:v>NO_APLICA</x:v>
      </x:c>
      <x:c r="P85" s="15" t="str">
        <x:v>Oxford DEMO</x:v>
      </x:c>
      <x:c r="Q85" s="15" t="str">
        <x:v>NO_APLICA</x:v>
      </x:c>
      <x:c r="R85" s="15" t="str">
        <x:v>m² equivalente DEMO</x:v>
      </x:c>
      <x:c r="S85" s="15" t="n">
        <x:v>0.55</x:v>
      </x:c>
      <x:c r="T85" s="15" t="n">
        <x:v>13.2</x:v>
      </x:c>
      <x:c r="U85" s="15" t="n">
        <x:v>9</x:v>
      </x:c>
      <x:c r="V85" s="15" t="n">
        <x:v>4.2</x:v>
      </x:c>
      <x:c r="W85" s="15" t="str">
        <x:v>FALTANTE_EN_ESCENARIO</x:v>
      </x:c>
      <x:c r="X85" s="15" t="n">
        <x:v>155</x:v>
      </x:c>
      <x:c r="Y85" s="15" t="n">
        <x:v>3720</x:v>
      </x:c>
      <x:c r="Z85" s="15" t="n">
        <x:v>473.93</x:v>
      </x:c>
      <x:c r="AA85" s="28" t="n">
        <x:v>3246.07</x:v>
      </x:c>
      <x:c r="AB85" s="15" t="n">
        <x:v>38</x:v>
      </x:c>
      <x:c r="AC85" s="28" t="n">
        <x:v>501.6</x:v>
      </x:c>
      <x:c r="AD85" s="28" t="n">
        <x:v>2744.47</x:v>
      </x:c>
      <x:c r="AE85" s="15" t="str">
        <x:v>FALTA_STOCK</x:v>
      </x:c>
      <x:c r="AF85" s="15" t="str">
        <x:v>true</x:v>
      </x:c>
    </x:row>
    <x:row r="86">
      <x:c r="A86" s="15" t="str">
        <x:v>SYN-085</x:v>
      </x:c>
      <x:c r="B86" s="15" t="str">
        <x:v>Carpas</x:v>
      </x:c>
      <x:c r="C86" s="15" t="n">
        <x:v>0.98</x:v>
      </x:c>
      <x:c r="D86" s="15" t="n">
        <x:v>1</x:v>
      </x:c>
      <x:c r="E86" s="15" t="n">
        <x:v>1</x:v>
      </x:c>
      <x:c r="F86" s="15" t="n">
        <x:v>42</x:v>
      </x:c>
      <x:c r="G86" s="15" t="n">
        <x:v>62</x:v>
      </x:c>
      <x:c r="H86" s="15" t="n">
        <x:v>6</x:v>
      </x:c>
      <x:c r="I86" s="15" t="str">
        <x:v>NO_CONCRETADA</x:v>
      </x:c>
      <x:c r="J86" s="15" t="n">
        <x:v>0</x:v>
      </x:c>
      <x:c r="K86" s="15" t="str">
        <x:v>true</x:v>
      </x:c>
      <x:c r="L86" s="15" t="n">
        <x:v>6426.15</x:v>
      </x:c>
      <x:c r="M86" s="15" t="n">
        <x:v>3</x:v>
      </x:c>
      <x:c r="N86" s="15" t="n">
        <x:v>2</x:v>
      </x:c>
      <x:c r="O86" s="15" t="str">
        <x:v>CERRADA</x:v>
      </x:c>
      <x:c r="P86" s="15" t="str">
        <x:v>Lino liviano DEMO</x:v>
      </x:c>
      <x:c r="Q86" s="15" t="str">
        <x:v>LIVIANO</x:v>
      </x:c>
      <x:c r="R86" s="15" t="str">
        <x:v>m² simulado</x:v>
      </x:c>
      <x:c r="S86" s="15" t="n">
        <x:v>1.55</x:v>
      </x:c>
      <x:c r="T86" s="15" t="n">
        <x:v>9.3</x:v>
      </x:c>
      <x:c r="U86" s="15" t="n">
        <x:v>28</x:v>
      </x:c>
      <x:c r="V86" s="15" t="n">
        <x:v>0</x:v>
      </x:c>
      <x:c r="W86" s="15" t="str">
        <x:v>SUFICIENTE_EN_ESCENARIO</x:v>
      </x:c>
      <x:c r="X86" s="15" t="n">
        <x:v>108</x:v>
      </x:c>
      <x:c r="Y86" s="15" t="n">
        <x:v>874.8</x:v>
      </x:c>
      <x:c r="Z86" s="15" t="n">
        <x:v>8.57</x:v>
      </x:c>
      <x:c r="AA86" s="28" t="n">
        <x:v>866.23</x:v>
      </x:c>
      <x:c r="AB86" s="15" t="n">
        <x:v>22</x:v>
      </x:c>
      <x:c r="AC86" s="28" t="n">
        <x:v>204.6</x:v>
      </x:c>
      <x:c r="AD86" s="28" t="n">
        <x:v>661.63</x:v>
      </x:c>
      <x:c r="AE86" s="15" t="str">
        <x:v>FACTIBLE_CON_REGLAS_SINTETICAS</x:v>
      </x:c>
      <x:c r="AF86" s="15" t="str">
        <x:v>true</x:v>
      </x:c>
    </x:row>
    <x:row r="87">
      <x:c r="A87" s="15" t="str">
        <x:v>SYN-086</x:v>
      </x:c>
      <x:c r="B87" s="15" t="str">
        <x:v>Toldos</x:v>
      </x:c>
      <x:c r="C87" s="15" t="n">
        <x:v>0.78</x:v>
      </x:c>
      <x:c r="D87" s="15" t="n">
        <x:v>1</x:v>
      </x:c>
      <x:c r="E87" s="15" t="n">
        <x:v>1</x:v>
      </x:c>
      <x:c r="F87" s="15" t="n">
        <x:v>57</x:v>
      </x:c>
      <x:c r="G87" s="15" t="n">
        <x:v>79</x:v>
      </x:c>
      <x:c r="H87" s="15" t="n">
        <x:v>10</x:v>
      </x:c>
      <x:c r="I87" s="15" t="str">
        <x:v>CONCRETADA</x:v>
      </x:c>
      <x:c r="J87" s="15" t="n">
        <x:v>1</x:v>
      </x:c>
      <x:c r="K87" s="15" t="str">
        <x:v>true</x:v>
      </x:c>
      <x:c r="L87" s="15" t="n">
        <x:v>3721.53</x:v>
      </x:c>
      <x:c r="M87" s="15" t="n">
        <x:v>3</x:v>
      </x:c>
      <x:c r="N87" s="15" t="n">
        <x:v>2</x:v>
      </x:c>
      <x:c r="O87" s="15" t="str">
        <x:v>NO_APLICA</x:v>
      </x:c>
      <x:c r="P87" s="15" t="str">
        <x:v>Lona orillo azul DEMO</x:v>
      </x:c>
      <x:c r="Q87" s="15" t="str">
        <x:v>ESTANDAR</x:v>
      </x:c>
      <x:c r="R87" s="15" t="str">
        <x:v>m² simulado</x:v>
      </x:c>
      <x:c r="S87" s="15" t="n">
        <x:v>1.1</x:v>
      </x:c>
      <x:c r="T87" s="15" t="n">
        <x:v>6.6</x:v>
      </x:c>
      <x:c r="U87" s="15" t="n">
        <x:v>22</x:v>
      </x:c>
      <x:c r="V87" s="15" t="n">
        <x:v>0</x:v>
      </x:c>
      <x:c r="W87" s="15" t="str">
        <x:v>SUFICIENTE_EN_ESCENARIO</x:v>
      </x:c>
      <x:c r="X87" s="15" t="n">
        <x:v>120</x:v>
      </x:c>
      <x:c r="Y87" s="15" t="n">
        <x:v>720</x:v>
      </x:c>
      <x:c r="Z87" s="15" t="n">
        <x:v>5.62</x:v>
      </x:c>
      <x:c r="AA87" s="28" t="n">
        <x:v>714.38</x:v>
      </x:c>
      <x:c r="AB87" s="15" t="n">
        <x:v>25</x:v>
      </x:c>
      <x:c r="AC87" s="28" t="n">
        <x:v>165</x:v>
      </x:c>
      <x:c r="AD87" s="28" t="n">
        <x:v>549.38</x:v>
      </x:c>
      <x:c r="AE87" s="15" t="str">
        <x:v>FACTIBLE_CON_REGLAS_SINTETICAS</x:v>
      </x:c>
      <x:c r="AF87" s="15" t="str">
        <x:v>true</x:v>
      </x:c>
    </x:row>
    <x:row r="88">
      <x:c r="A88" s="15" t="str">
        <x:v>SYN-087</x:v>
      </x:c>
      <x:c r="B88" s="15" t="str">
        <x:v>Tapizado de moto</x:v>
      </x:c>
      <x:c r="C88" s="15" t="n">
        <x:v>1.28</x:v>
      </x:c>
      <x:c r="D88" s="15" t="n">
        <x:v>1</x:v>
      </x:c>
      <x:c r="E88" s="15" t="n">
        <x:v>0</x:v>
      </x:c>
      <x:c r="F88" s="15" t="n">
        <x:v>19</x:v>
      </x:c>
      <x:c r="G88" s="15" t="n">
        <x:v>67</x:v>
      </x:c>
      <x:c r="H88" s="15" t="n">
        <x:v>11</x:v>
      </x:c>
      <x:c r="I88" s="15" t="str">
        <x:v>NO_CONCRETADA</x:v>
      </x:c>
      <x:c r="J88" s="15" t="n">
        <x:v>0</x:v>
      </x:c>
      <x:c r="K88" s="15" t="str">
        <x:v>true</x:v>
      </x:c>
      <x:c r="L88" s="15" t="n">
        <x:v>7435.25</x:v>
      </x:c>
      <x:c r="M88" s="15" t="n">
        <x:v>2</x:v>
      </x:c>
      <x:c r="N88" s="15" t="n">
        <x:v>2</x:v>
      </x:c>
      <x:c r="O88" s="15" t="str">
        <x:v>NO_APLICA</x:v>
      </x:c>
      <x:c r="P88" s="15" t="str">
        <x:v>Oxford DEMO</x:v>
      </x:c>
      <x:c r="Q88" s="15" t="str">
        <x:v>NO_APLICA</x:v>
      </x:c>
      <x:c r="R88" s="15" t="str">
        <x:v>m² equivalente DEMO</x:v>
      </x:c>
      <x:c r="S88" s="15" t="n">
        <x:v>0.55</x:v>
      </x:c>
      <x:c r="T88" s="15" t="n">
        <x:v>2.2</x:v>
      </x:c>
      <x:c r="U88" s="15" t="n">
        <x:v>9</x:v>
      </x:c>
      <x:c r="V88" s="15" t="n">
        <x:v>0</x:v>
      </x:c>
      <x:c r="W88" s="15" t="str">
        <x:v>SUFICIENTE_EN_ESCENARIO</x:v>
      </x:c>
      <x:c r="X88" s="15" t="n">
        <x:v>155</x:v>
      </x:c>
      <x:c r="Y88" s="15" t="n">
        <x:v>620</x:v>
      </x:c>
      <x:c r="Z88" s="15" t="n">
        <x:v>7.94</x:v>
      </x:c>
      <x:c r="AA88" s="28" t="n">
        <x:v>612.06</x:v>
      </x:c>
      <x:c r="AB88" s="15" t="n">
        <x:v>38</x:v>
      </x:c>
      <x:c r="AC88" s="28" t="n">
        <x:v>83.6</x:v>
      </x:c>
      <x:c r="AD88" s="28" t="n">
        <x:v>528.46</x:v>
      </x:c>
      <x:c r="AE88" s="15" t="str">
        <x:v>FACTIBLE_CON_REGLAS_SINTETICAS</x:v>
      </x:c>
      <x:c r="AF88" s="15" t="str">
        <x:v>true</x:v>
      </x:c>
    </x:row>
    <x:row r="89">
      <x:c r="A89" s="15" t="str">
        <x:v>SYN-088</x:v>
      </x:c>
      <x:c r="B89" s="15" t="str">
        <x:v>Carpas</x:v>
      </x:c>
      <x:c r="C89" s="15" t="n">
        <x:v>10.23</x:v>
      </x:c>
      <x:c r="D89" s="15" t="n">
        <x:v>1</x:v>
      </x:c>
      <x:c r="E89" s="15" t="n">
        <x:v>1</x:v>
      </x:c>
      <x:c r="F89" s="15" t="n">
        <x:v>4</x:v>
      </x:c>
      <x:c r="G89" s="15" t="n">
        <x:v>62</x:v>
      </x:c>
      <x:c r="H89" s="15" t="n">
        <x:v>3</x:v>
      </x:c>
      <x:c r="I89" s="15" t="str">
        <x:v>CONCRETADA</x:v>
      </x:c>
      <x:c r="J89" s="15" t="n">
        <x:v>1</x:v>
      </x:c>
      <x:c r="K89" s="15" t="str">
        <x:v>true</x:v>
      </x:c>
      <x:c r="L89" s="15" t="n">
        <x:v>1811.4</x:v>
      </x:c>
      <x:c r="M89" s="15" t="n">
        <x:v>5</x:v>
      </x:c>
      <x:c r="N89" s="15" t="n">
        <x:v>4</x:v>
      </x:c>
      <x:c r="O89" s="15" t="str">
        <x:v>CERRADA</x:v>
      </x:c>
      <x:c r="P89" s="15" t="str">
        <x:v>Lino pesado DEMO</x:v>
      </x:c>
      <x:c r="Q89" s="15" t="str">
        <x:v>PESADO</x:v>
      </x:c>
      <x:c r="R89" s="15" t="str">
        <x:v>m² simulado</x:v>
      </x:c>
      <x:c r="S89" s="15" t="n">
        <x:v>1.55</x:v>
      </x:c>
      <x:c r="T89" s="15" t="n">
        <x:v>31</x:v>
      </x:c>
      <x:c r="U89" s="15" t="n">
        <x:v>20</x:v>
      </x:c>
      <x:c r="V89" s="15" t="n">
        <x:v>11</x:v>
      </x:c>
      <x:c r="W89" s="15" t="str">
        <x:v>FALTANTE_EN_ESCENARIO</x:v>
      </x:c>
      <x:c r="X89" s="15" t="n">
        <x:v>125</x:v>
      </x:c>
      <x:c r="Y89" s="15" t="n">
        <x:v>3375</x:v>
      </x:c>
      <x:c r="Z89" s="15" t="n">
        <x:v>345.26</x:v>
      </x:c>
      <x:c r="AA89" s="28" t="n">
        <x:v>3029.74</x:v>
      </x:c>
      <x:c r="AB89" s="15" t="n">
        <x:v>29</x:v>
      </x:c>
      <x:c r="AC89" s="28" t="n">
        <x:v>899</x:v>
      </x:c>
      <x:c r="AD89" s="28" t="n">
        <x:v>2130.74</x:v>
      </x:c>
      <x:c r="AE89" s="15" t="str">
        <x:v>FALTA_STOCK</x:v>
      </x:c>
      <x:c r="AF89" s="15" t="str">
        <x:v>true</x:v>
      </x:c>
    </x:row>
    <x:row r="90">
      <x:c r="A90" s="15" t="str">
        <x:v>SYN-089</x:v>
      </x:c>
      <x:c r="B90" s="15" t="str">
        <x:v>Toldos</x:v>
      </x:c>
      <x:c r="C90" s="15" t="n">
        <x:v>8.86</x:v>
      </x:c>
      <x:c r="D90" s="15" t="n">
        <x:v>1</x:v>
      </x:c>
      <x:c r="E90" s="15" t="n">
        <x:v>0</x:v>
      </x:c>
      <x:c r="F90" s="15" t="n">
        <x:v>35</x:v>
      </x:c>
      <x:c r="G90" s="15" t="n">
        <x:v>70</x:v>
      </x:c>
      <x:c r="H90" s="15" t="n">
        <x:v>7</x:v>
      </x:c>
      <x:c r="I90" s="15" t="str">
        <x:v>CONCRETADA</x:v>
      </x:c>
      <x:c r="J90" s="15" t="n">
        <x:v>1</x:v>
      </x:c>
      <x:c r="K90" s="15" t="str">
        <x:v>true</x:v>
      </x:c>
      <x:c r="L90" s="15" t="n">
        <x:v>4468.98</x:v>
      </x:c>
      <x:c r="M90" s="15" t="n">
        <x:v>3</x:v>
      </x:c>
      <x:c r="N90" s="15" t="n">
        <x:v>3</x:v>
      </x:c>
      <x:c r="O90" s="15" t="str">
        <x:v>NO_APLICA</x:v>
      </x:c>
      <x:c r="P90" s="15" t="str">
        <x:v>Lona orillo rojo DEMO</x:v>
      </x:c>
      <x:c r="Q90" s="15" t="str">
        <x:v>ESTANDAR</x:v>
      </x:c>
      <x:c r="R90" s="15" t="str">
        <x:v>m² simulado</x:v>
      </x:c>
      <x:c r="S90" s="15" t="n">
        <x:v>1.1</x:v>
      </x:c>
      <x:c r="T90" s="15" t="n">
        <x:v>9.9</x:v>
      </x:c>
      <x:c r="U90" s="15" t="n">
        <x:v>18</x:v>
      </x:c>
      <x:c r="V90" s="15" t="n">
        <x:v>0</x:v>
      </x:c>
      <x:c r="W90" s="15" t="str">
        <x:v>SUFICIENTE_EN_ESCENARIO</x:v>
      </x:c>
      <x:c r="X90" s="15" t="n">
        <x:v>122</x:v>
      </x:c>
      <x:c r="Y90" s="15" t="n">
        <x:v>1098</x:v>
      </x:c>
      <x:c r="Z90" s="15" t="n">
        <x:v>97.28</x:v>
      </x:c>
      <x:c r="AA90" s="28" t="n">
        <x:v>1000.72</x:v>
      </x:c>
      <x:c r="AB90" s="15" t="n">
        <x:v>26</x:v>
      </x:c>
      <x:c r="AC90" s="28" t="n">
        <x:v>257.4</x:v>
      </x:c>
      <x:c r="AD90" s="28" t="n">
        <x:v>743.32</x:v>
      </x:c>
      <x:c r="AE90" s="15" t="str">
        <x:v>FACTIBLE_CON_REGLAS_SINTETICAS</x:v>
      </x:c>
      <x:c r="AF90" s="15" t="str">
        <x:v>true</x:v>
      </x:c>
    </x:row>
    <x:row r="91">
      <x:c r="A91" s="15" t="str">
        <x:v>SYN-090</x:v>
      </x:c>
      <x:c r="B91" s="15" t="str">
        <x:v>Tapizado de moto</x:v>
      </x:c>
      <x:c r="C91" s="15" t="n">
        <x:v>5.74</x:v>
      </x:c>
      <x:c r="D91" s="15" t="n">
        <x:v>0</x:v>
      </x:c>
      <x:c r="E91" s="15" t="n">
        <x:v>0</x:v>
      </x:c>
      <x:c r="F91" s="15" t="n">
        <x:v>31</x:v>
      </x:c>
      <x:c r="G91" s="15" t="n">
        <x:v>8</x:v>
      </x:c>
      <x:c r="H91" s="15" t="n">
        <x:v>16</x:v>
      </x:c>
      <x:c r="I91" s="15" t="str">
        <x:v>NO_CONCRETADA</x:v>
      </x:c>
      <x:c r="J91" s="15" t="n">
        <x:v>0</x:v>
      </x:c>
      <x:c r="K91" s="15" t="str">
        <x:v>true</x:v>
      </x:c>
      <x:c r="L91" s="15" t="n">
        <x:v>5970.69</x:v>
      </x:c>
      <x:c r="M91" s="15" t="n">
        <x:v>2</x:v>
      </x:c>
      <x:c r="N91" s="15" t="n">
        <x:v>2</x:v>
      </x:c>
      <x:c r="O91" s="15" t="str">
        <x:v>NO_APLICA</x:v>
      </x:c>
      <x:c r="P91" s="15" t="str">
        <x:v>Oxford DEMO</x:v>
      </x:c>
      <x:c r="Q91" s="15" t="str">
        <x:v>NO_APLICA</x:v>
      </x:c>
      <x:c r="R91" s="15" t="str">
        <x:v>m² equivalente DEMO</x:v>
      </x:c>
      <x:c r="S91" s="15" t="n">
        <x:v>0.55</x:v>
      </x:c>
      <x:c r="T91" s="15" t="n">
        <x:v>2.2</x:v>
      </x:c>
      <x:c r="U91" s="15" t="n">
        <x:v>9</x:v>
      </x:c>
      <x:c r="V91" s="15" t="n">
        <x:v>0</x:v>
      </x:c>
      <x:c r="W91" s="15" t="str">
        <x:v>SUFICIENTE_EN_ESCENARIO</x:v>
      </x:c>
      <x:c r="X91" s="15" t="n">
        <x:v>155</x:v>
      </x:c>
      <x:c r="Y91" s="15" t="n">
        <x:v>620</x:v>
      </x:c>
      <x:c r="Z91" s="15" t="n">
        <x:v>35.59</x:v>
      </x:c>
      <x:c r="AA91" s="28" t="n">
        <x:v>584.41</x:v>
      </x:c>
      <x:c r="AB91" s="15" t="n">
        <x:v>38</x:v>
      </x:c>
      <x:c r="AC91" s="28" t="n">
        <x:v>83.6</x:v>
      </x:c>
      <x:c r="AD91" s="28" t="n">
        <x:v>500.81</x:v>
      </x:c>
      <x:c r="AE91" s="15" t="str">
        <x:v>REVISAR_DATOS</x:v>
      </x:c>
      <x:c r="AF91" s="15" t="str">
        <x:v>true</x:v>
      </x:c>
    </x:row>
    <x:row r="92">
      <x:c r="A92" s="15" t="str">
        <x:v>SYN-091</x:v>
      </x:c>
      <x:c r="B92" s="15" t="str">
        <x:v>Carpas</x:v>
      </x:c>
      <x:c r="C92" s="15" t="n">
        <x:v>5.12</x:v>
      </x:c>
      <x:c r="D92" s="15" t="n">
        <x:v>1</x:v>
      </x:c>
      <x:c r="E92" s="15" t="n">
        <x:v>1</x:v>
      </x:c>
      <x:c r="F92" s="15" t="n">
        <x:v>13</x:v>
      </x:c>
      <x:c r="G92" s="15" t="n">
        <x:v>54</x:v>
      </x:c>
      <x:c r="H92" s="15" t="n">
        <x:v>14</x:v>
      </x:c>
      <x:c r="I92" s="15" t="str">
        <x:v>NO_CONCRETADA</x:v>
      </x:c>
      <x:c r="J92" s="15" t="n">
        <x:v>0</x:v>
      </x:c>
      <x:c r="K92" s="15" t="str">
        <x:v>true</x:v>
      </x:c>
      <x:c r="L92" s="15" t="n">
        <x:v>4896</x:v>
      </x:c>
      <x:c r="M92" s="15" t="n">
        <x:v>3</x:v>
      </x:c>
      <x:c r="N92" s="15" t="n">
        <x:v>3</x:v>
      </x:c>
      <x:c r="O92" s="15" t="str">
        <x:v>CERRADA</x:v>
      </x:c>
      <x:c r="P92" s="15" t="str">
        <x:v>Lino pesado DEMO</x:v>
      </x:c>
      <x:c r="Q92" s="15" t="str">
        <x:v>PESADO</x:v>
      </x:c>
      <x:c r="R92" s="15" t="str">
        <x:v>m² simulado</x:v>
      </x:c>
      <x:c r="S92" s="15" t="n">
        <x:v>1.55</x:v>
      </x:c>
      <x:c r="T92" s="15" t="n">
        <x:v>13.95</x:v>
      </x:c>
      <x:c r="U92" s="15" t="n">
        <x:v>20</x:v>
      </x:c>
      <x:c r="V92" s="15" t="n">
        <x:v>0</x:v>
      </x:c>
      <x:c r="W92" s="15" t="str">
        <x:v>SUFICIENTE_EN_ESCENARIO</x:v>
      </x:c>
      <x:c r="X92" s="15" t="n">
        <x:v>125</x:v>
      </x:c>
      <x:c r="Y92" s="15" t="n">
        <x:v>1518.75</x:v>
      </x:c>
      <x:c r="Z92" s="15" t="n">
        <x:v>77.76</x:v>
      </x:c>
      <x:c r="AA92" s="28" t="n">
        <x:v>1440.99</x:v>
      </x:c>
      <x:c r="AB92" s="15" t="n">
        <x:v>29</x:v>
      </x:c>
      <x:c r="AC92" s="28" t="n">
        <x:v>404.55</x:v>
      </x:c>
      <x:c r="AD92" s="28" t="n">
        <x:v>1036.44</x:v>
      </x:c>
      <x:c r="AE92" s="15" t="str">
        <x:v>FACTIBLE_CON_REGLAS_SINTETICAS</x:v>
      </x:c>
      <x:c r="AF92" s="15" t="str">
        <x:v>true</x:v>
      </x:c>
    </x:row>
    <x:row r="93">
      <x:c r="A93" s="15" t="str">
        <x:v>SYN-092</x:v>
      </x:c>
      <x:c r="B93" s="15" t="str">
        <x:v>Toldos</x:v>
      </x:c>
      <x:c r="C93" s="15" t="n">
        <x:v>11.81</x:v>
      </x:c>
      <x:c r="D93" s="15" t="n">
        <x:v>1</x:v>
      </x:c>
      <x:c r="E93" s="15" t="n">
        <x:v>1</x:v>
      </x:c>
      <x:c r="F93" s="15" t="n">
        <x:v>67</x:v>
      </x:c>
      <x:c r="G93" s="15" t="n">
        <x:v>44</x:v>
      </x:c>
      <x:c r="H93" s="15" t="n">
        <x:v>0</x:v>
      </x:c>
      <x:c r="I93" s="15" t="str">
        <x:v>CONCRETADA</x:v>
      </x:c>
      <x:c r="J93" s="15" t="n">
        <x:v>1</x:v>
      </x:c>
      <x:c r="K93" s="15" t="str">
        <x:v>true</x:v>
      </x:c>
      <x:c r="L93" s="15" t="n">
        <x:v>4315.61</x:v>
      </x:c>
      <x:c r="M93" s="15" t="n">
        <x:v>6</x:v>
      </x:c>
      <x:c r="N93" s="15" t="n">
        <x:v>4</x:v>
      </x:c>
      <x:c r="O93" s="15" t="str">
        <x:v>NO_APLICA</x:v>
      </x:c>
      <x:c r="P93" s="15" t="str">
        <x:v>Tarflex DEMO</x:v>
      </x:c>
      <x:c r="Q93" s="15" t="str">
        <x:v>ESTANDAR</x:v>
      </x:c>
      <x:c r="R93" s="15" t="str">
        <x:v>m² simulado</x:v>
      </x:c>
      <x:c r="S93" s="15" t="n">
        <x:v>1.1</x:v>
      </x:c>
      <x:c r="T93" s="15" t="n">
        <x:v>26.4</x:v>
      </x:c>
      <x:c r="U93" s="15" t="n">
        <x:v>24</x:v>
      </x:c>
      <x:c r="V93" s="15" t="n">
        <x:v>2.4</x:v>
      </x:c>
      <x:c r="W93" s="15" t="str">
        <x:v>FALTANTE_EN_ESCENARIO</x:v>
      </x:c>
      <x:c r="X93" s="15" t="n">
        <x:v>112</x:v>
      </x:c>
      <x:c r="Y93" s="15" t="n">
        <x:v>2688</x:v>
      </x:c>
      <x:c r="Z93" s="15" t="n">
        <x:v>317.45</x:v>
      </x:c>
      <x:c r="AA93" s="28" t="n">
        <x:v>2370.55</x:v>
      </x:c>
      <x:c r="AB93" s="15" t="n">
        <x:v>23</x:v>
      </x:c>
      <x:c r="AC93" s="28" t="n">
        <x:v>607.2</x:v>
      </x:c>
      <x:c r="AD93" s="28" t="n">
        <x:v>1763.35</x:v>
      </x:c>
      <x:c r="AE93" s="15" t="str">
        <x:v>FALTA_STOCK</x:v>
      </x:c>
      <x:c r="AF93" s="15" t="str">
        <x:v>true</x:v>
      </x:c>
    </x:row>
    <x:row r="94">
      <x:c r="A94" s="15" t="str">
        <x:v>SYN-093</x:v>
      </x:c>
      <x:c r="B94" s="15" t="str">
        <x:v>Tapizado de moto</x:v>
      </x:c>
      <x:c r="C94" s="15" t="n">
        <x:v>1.8</x:v>
      </x:c>
      <x:c r="D94" s="15" t="n">
        <x:v>0</x:v>
      </x:c>
      <x:c r="E94" s="15" t="n">
        <x:v>0</x:v>
      </x:c>
      <x:c r="F94" s="15" t="n">
        <x:v>48</x:v>
      </x:c>
      <x:c r="G94" s="15" t="n">
        <x:v>55</x:v>
      </x:c>
      <x:c r="H94" s="15" t="n">
        <x:v>4</x:v>
      </x:c>
      <x:c r="I94" s="15" t="str">
        <x:v>CONCRETADA</x:v>
      </x:c>
      <x:c r="J94" s="15" t="n">
        <x:v>1</x:v>
      </x:c>
      <x:c r="K94" s="15" t="str">
        <x:v>true</x:v>
      </x:c>
      <x:c r="L94" s="15" t="n">
        <x:v>4343.96</x:v>
      </x:c>
      <x:c r="M94" s="15" t="n">
        <x:v>2</x:v>
      </x:c>
      <x:c r="N94" s="15" t="n">
        <x:v>2</x:v>
      </x:c>
      <x:c r="O94" s="15" t="str">
        <x:v>NO_APLICA</x:v>
      </x:c>
      <x:c r="P94" s="15" t="str">
        <x:v>Oxford DEMO</x:v>
      </x:c>
      <x:c r="Q94" s="15" t="str">
        <x:v>NO_APLICA</x:v>
      </x:c>
      <x:c r="R94" s="15" t="str">
        <x:v>m² equivalente DEMO</x:v>
      </x:c>
      <x:c r="S94" s="15" t="n">
        <x:v>0.55</x:v>
      </x:c>
      <x:c r="T94" s="15" t="n">
        <x:v>2.2</x:v>
      </x:c>
      <x:c r="U94" s="15" t="n">
        <x:v>9</x:v>
      </x:c>
      <x:c r="V94" s="15" t="n">
        <x:v>0</x:v>
      </x:c>
      <x:c r="W94" s="15" t="str">
        <x:v>SUFICIENTE_EN_ESCENARIO</x:v>
      </x:c>
      <x:c r="X94" s="15" t="n">
        <x:v>155</x:v>
      </x:c>
      <x:c r="Y94" s="15" t="n">
        <x:v>620</x:v>
      </x:c>
      <x:c r="Z94" s="15" t="n">
        <x:v>11.16</x:v>
      </x:c>
      <x:c r="AA94" s="28" t="n">
        <x:v>608.84</x:v>
      </x:c>
      <x:c r="AB94" s="15" t="n">
        <x:v>38</x:v>
      </x:c>
      <x:c r="AC94" s="28" t="n">
        <x:v>83.6</x:v>
      </x:c>
      <x:c r="AD94" s="28" t="n">
        <x:v>525.24</x:v>
      </x:c>
      <x:c r="AE94" s="15" t="str">
        <x:v>REVISAR_DATOS</x:v>
      </x:c>
      <x:c r="AF94" s="15" t="str">
        <x:v>true</x:v>
      </x:c>
    </x:row>
    <x:row r="95">
      <x:c r="A95" s="15" t="str">
        <x:v>SYN-094</x:v>
      </x:c>
      <x:c r="B95" s="15" t="str">
        <x:v>Carpas</x:v>
      </x:c>
      <x:c r="C95" s="15" t="n">
        <x:v>2.64</x:v>
      </x:c>
      <x:c r="D95" s="15" t="n">
        <x:v>0</x:v>
      </x:c>
      <x:c r="E95" s="15" t="n">
        <x:v>0</x:v>
      </x:c>
      <x:c r="F95" s="15" t="n">
        <x:v>37</x:v>
      </x:c>
      <x:c r="G95" s="15" t="n">
        <x:v>18</x:v>
      </x:c>
      <x:c r="H95" s="15" t="n">
        <x:v>3</x:v>
      </x:c>
      <x:c r="I95" s="15" t="str">
        <x:v>CONCRETADA</x:v>
      </x:c>
      <x:c r="J95" s="15" t="n">
        <x:v>1</x:v>
      </x:c>
      <x:c r="K95" s="15" t="str">
        <x:v>true</x:v>
      </x:c>
      <x:c r="L95" s="15" t="n">
        <x:v>720.91</x:v>
      </x:c>
      <x:c r="M95" s="15" t="n">
        <x:v>2</x:v>
      </x:c>
      <x:c r="N95" s="15" t="n">
        <x:v>2</x:v>
      </x:c>
      <x:c r="O95" s="15" t="str">
        <x:v>CERRADA</x:v>
      </x:c>
      <x:c r="P95" s="15" t="str">
        <x:v>Lino económico DEMO</x:v>
      </x:c>
      <x:c r="Q95" s="15" t="str">
        <x:v>ECONOMICO</x:v>
      </x:c>
      <x:c r="R95" s="15" t="str">
        <x:v>m² simulado</x:v>
      </x:c>
      <x:c r="S95" s="15" t="n">
        <x:v>1.55</x:v>
      </x:c>
      <x:c r="T95" s="15" t="n">
        <x:v>6.2</x:v>
      </x:c>
      <x:c r="U95" s="15" t="n">
        <x:v>32</x:v>
      </x:c>
      <x:c r="V95" s="15" t="n">
        <x:v>0</x:v>
      </x:c>
      <x:c r="W95" s="15" t="str">
        <x:v>SUFICIENTE_EN_ESCENARIO</x:v>
      </x:c>
      <x:c r="X95" s="15" t="n">
        <x:v>95</x:v>
      </x:c>
      <x:c r="Y95" s="15" t="n">
        <x:v>513</x:v>
      </x:c>
      <x:c r="Z95" s="15" t="n">
        <x:v>13.54</x:v>
      </x:c>
      <x:c r="AA95" s="28" t="n">
        <x:v>499.46</x:v>
      </x:c>
      <x:c r="AB95" s="15" t="n">
        <x:v>18</x:v>
      </x:c>
      <x:c r="AC95" s="28" t="n">
        <x:v>111.6</x:v>
      </x:c>
      <x:c r="AD95" s="28" t="n">
        <x:v>387.86</x:v>
      </x:c>
      <x:c r="AE95" s="15" t="str">
        <x:v>REVISAR_DATOS</x:v>
      </x:c>
      <x:c r="AF95" s="15" t="str">
        <x:v>true</x:v>
      </x:c>
    </x:row>
    <x:row r="96">
      <x:c r="A96" s="15" t="str">
        <x:v>SYN-095</x:v>
      </x:c>
      <x:c r="B96" s="15" t="str">
        <x:v>Toldos</x:v>
      </x:c>
      <x:c r="C96" s="15" t="n">
        <x:v>17.47</x:v>
      </x:c>
      <x:c r="D96" s="15" t="n">
        <x:v>1</x:v>
      </x:c>
      <x:c r="E96" s="15" t="n">
        <x:v>1</x:v>
      </x:c>
      <x:c r="F96" s="15" t="n">
        <x:v>64</x:v>
      </x:c>
      <x:c r="G96" s="15" t="n">
        <x:v>14</x:v>
      </x:c>
      <x:c r="H96" s="15" t="n">
        <x:v>13</x:v>
      </x:c>
      <x:c r="I96" s="15" t="str">
        <x:v>NO_CONCRETADA</x:v>
      </x:c>
      <x:c r="J96" s="15" t="n">
        <x:v>0</x:v>
      </x:c>
      <x:c r="K96" s="15" t="str">
        <x:v>true</x:v>
      </x:c>
      <x:c r="L96" s="15" t="n">
        <x:v>1367.03</x:v>
      </x:c>
      <x:c r="M96" s="15" t="n">
        <x:v>6</x:v>
      </x:c>
      <x:c r="N96" s="15" t="n">
        <x:v>4</x:v>
      </x:c>
      <x:c r="O96" s="15" t="str">
        <x:v>NO_APLICA</x:v>
      </x:c>
      <x:c r="P96" s="15" t="str">
        <x:v>Lona orillo rojo DEMO</x:v>
      </x:c>
      <x:c r="Q96" s="15" t="str">
        <x:v>ESTANDAR</x:v>
      </x:c>
      <x:c r="R96" s="15" t="str">
        <x:v>m² simulado</x:v>
      </x:c>
      <x:c r="S96" s="15" t="n">
        <x:v>1.1</x:v>
      </x:c>
      <x:c r="T96" s="15" t="n">
        <x:v>26.4</x:v>
      </x:c>
      <x:c r="U96" s="15" t="n">
        <x:v>18</x:v>
      </x:c>
      <x:c r="V96" s="15" t="n">
        <x:v>8.4</x:v>
      </x:c>
      <x:c r="W96" s="15" t="str">
        <x:v>FALTANTE_EN_ESCENARIO</x:v>
      </x:c>
      <x:c r="X96" s="15" t="n">
        <x:v>122</x:v>
      </x:c>
      <x:c r="Y96" s="15" t="n">
        <x:v>2928</x:v>
      </x:c>
      <x:c r="Z96" s="15" t="n">
        <x:v>511.52</x:v>
      </x:c>
      <x:c r="AA96" s="28" t="n">
        <x:v>2416.48</x:v>
      </x:c>
      <x:c r="AB96" s="15" t="n">
        <x:v>26</x:v>
      </x:c>
      <x:c r="AC96" s="28" t="n">
        <x:v>686.4</x:v>
      </x:c>
      <x:c r="AD96" s="28" t="n">
        <x:v>1730.08</x:v>
      </x:c>
      <x:c r="AE96" s="15" t="str">
        <x:v>FALTA_STOCK</x:v>
      </x:c>
      <x:c r="AF96" s="15" t="str">
        <x:v>true</x:v>
      </x:c>
    </x:row>
    <x:row r="97">
      <x:c r="A97" s="15" t="str">
        <x:v>SYN-096</x:v>
      </x:c>
      <x:c r="B97" s="15" t="str">
        <x:v>Tapizado de moto</x:v>
      </x:c>
      <x:c r="C97" s="15" t="n">
        <x:v>8.11</x:v>
      </x:c>
      <x:c r="D97" s="15" t="n">
        <x:v>1</x:v>
      </x:c>
      <x:c r="E97" s="15" t="n">
        <x:v>0</x:v>
      </x:c>
      <x:c r="F97" s="15" t="n">
        <x:v>12</x:v>
      </x:c>
      <x:c r="G97" s="15" t="n">
        <x:v>1</x:v>
      </x:c>
      <x:c r="H97" s="15" t="n">
        <x:v>2</x:v>
      </x:c>
      <x:c r="I97" s="15" t="str">
        <x:v>NO_CONCRETADA</x:v>
      </x:c>
      <x:c r="J97" s="15" t="n">
        <x:v>0</x:v>
      </x:c>
      <x:c r="K97" s="15" t="str">
        <x:v>true</x:v>
      </x:c>
      <x:c r="L97" s="15" t="n">
        <x:v>3721.55</x:v>
      </x:c>
      <x:c r="M97" s="15" t="n">
        <x:v>3</x:v>
      </x:c>
      <x:c r="N97" s="15" t="n">
        <x:v>3</x:v>
      </x:c>
      <x:c r="O97" s="15" t="str">
        <x:v>NO_APLICA</x:v>
      </x:c>
      <x:c r="P97" s="15" t="str">
        <x:v>Oxford DEMO</x:v>
      </x:c>
      <x:c r="Q97" s="15" t="str">
        <x:v>NO_APLICA</x:v>
      </x:c>
      <x:c r="R97" s="15" t="str">
        <x:v>m² equivalente DEMO</x:v>
      </x:c>
      <x:c r="S97" s="15" t="n">
        <x:v>0.55</x:v>
      </x:c>
      <x:c r="T97" s="15" t="n">
        <x:v>4.95</x:v>
      </x:c>
      <x:c r="U97" s="15" t="n">
        <x:v>9</x:v>
      </x:c>
      <x:c r="V97" s="15" t="n">
        <x:v>0</x:v>
      </x:c>
      <x:c r="W97" s="15" t="str">
        <x:v>SUFICIENTE_EN_ESCENARIO</x:v>
      </x:c>
      <x:c r="X97" s="15" t="n">
        <x:v>155</x:v>
      </x:c>
      <x:c r="Y97" s="15" t="n">
        <x:v>1395</x:v>
      </x:c>
      <x:c r="Z97" s="15" t="n">
        <x:v>113.13</x:v>
      </x:c>
      <x:c r="AA97" s="28" t="n">
        <x:v>1281.87</x:v>
      </x:c>
      <x:c r="AB97" s="15" t="n">
        <x:v>38</x:v>
      </x:c>
      <x:c r="AC97" s="28" t="n">
        <x:v>188.1</x:v>
      </x:c>
      <x:c r="AD97" s="28" t="n">
        <x:v>1093.77</x:v>
      </x:c>
      <x:c r="AE97" s="15" t="str">
        <x:v>FACTIBLE_CON_REGLAS_SINTETICAS</x:v>
      </x:c>
      <x:c r="AF97" s="15" t="str">
        <x:v>true</x:v>
      </x:c>
    </x:row>
    <x:row r="98">
      <x:c r="A98" s="15" t="str">
        <x:v>SYN-097</x:v>
      </x:c>
      <x:c r="B98" s="15" t="str">
        <x:v>Carpas</x:v>
      </x:c>
      <x:c r="C98" s="15" t="n">
        <x:v>16.21</x:v>
      </x:c>
      <x:c r="D98" s="15" t="n">
        <x:v>0</x:v>
      </x:c>
      <x:c r="E98" s="15" t="n">
        <x:v>0</x:v>
      </x:c>
      <x:c r="F98" s="15" t="n">
        <x:v>34</x:v>
      </x:c>
      <x:c r="G98" s="15" t="n">
        <x:v>76</x:v>
      </x:c>
      <x:c r="H98" s="15" t="n">
        <x:v>19</x:v>
      </x:c>
      <x:c r="I98" s="15" t="str">
        <x:v>NO_CONCRETADA</x:v>
      </x:c>
      <x:c r="J98" s="15" t="n">
        <x:v>0</x:v>
      </x:c>
      <x:c r="K98" s="15" t="str">
        <x:v>true</x:v>
      </x:c>
      <x:c r="L98" s="15" t="n">
        <x:v>4727.34</x:v>
      </x:c>
      <x:c r="M98" s="15" t="n">
        <x:v>6</x:v>
      </x:c>
      <x:c r="N98" s="15" t="n">
        <x:v>4</x:v>
      </x:c>
      <x:c r="O98" s="15" t="str">
        <x:v>CERRADA</x:v>
      </x:c>
      <x:c r="P98" s="15" t="str">
        <x:v>Lino pesado DEMO</x:v>
      </x:c>
      <x:c r="Q98" s="15" t="str">
        <x:v>PESADO</x:v>
      </x:c>
      <x:c r="R98" s="15" t="str">
        <x:v>m² simulado</x:v>
      </x:c>
      <x:c r="S98" s="15" t="n">
        <x:v>1.55</x:v>
      </x:c>
      <x:c r="T98" s="15" t="n">
        <x:v>37.2</x:v>
      </x:c>
      <x:c r="U98" s="15" t="n">
        <x:v>20</x:v>
      </x:c>
      <x:c r="V98" s="15" t="n">
        <x:v>17.2</x:v>
      </x:c>
      <x:c r="W98" s="15" t="str">
        <x:v>FALTANTE_EN_ESCENARIO</x:v>
      </x:c>
      <x:c r="X98" s="15" t="n">
        <x:v>125</x:v>
      </x:c>
      <x:c r="Y98" s="15" t="n">
        <x:v>4050</x:v>
      </x:c>
      <x:c r="Z98" s="15" t="n">
        <x:v>656.51</x:v>
      </x:c>
      <x:c r="AA98" s="28" t="n">
        <x:v>3393.5</x:v>
      </x:c>
      <x:c r="AB98" s="15" t="n">
        <x:v>29</x:v>
      </x:c>
      <x:c r="AC98" s="28" t="n">
        <x:v>1078.8</x:v>
      </x:c>
      <x:c r="AD98" s="28" t="n">
        <x:v>2314.7</x:v>
      </x:c>
      <x:c r="AE98" s="15" t="str">
        <x:v>REVISAR_DATOS</x:v>
      </x:c>
      <x:c r="AF98" s="15" t="str">
        <x:v>true</x:v>
      </x:c>
    </x:row>
    <x:row r="99">
      <x:c r="A99" s="15" t="str">
        <x:v>SYN-098</x:v>
      </x:c>
      <x:c r="B99" s="15" t="str">
        <x:v>Toldos</x:v>
      </x:c>
      <x:c r="C99" s="15" t="n">
        <x:v>13.08</x:v>
      </x:c>
      <x:c r="D99" s="15" t="n">
        <x:v>1</x:v>
      </x:c>
      <x:c r="E99" s="15" t="n">
        <x:v>0</x:v>
      </x:c>
      <x:c r="F99" s="15" t="n">
        <x:v>15</x:v>
      </x:c>
      <x:c r="G99" s="15" t="n">
        <x:v>41</x:v>
      </x:c>
      <x:c r="H99" s="15" t="n">
        <x:v>1</x:v>
      </x:c>
      <x:c r="I99" s="15" t="str">
        <x:v>CONCRETADA</x:v>
      </x:c>
      <x:c r="J99" s="15" t="n">
        <x:v>1</x:v>
      </x:c>
      <x:c r="K99" s="15" t="str">
        <x:v>true</x:v>
      </x:c>
      <x:c r="L99" s="15" t="n">
        <x:v>8024.3</x:v>
      </x:c>
      <x:c r="M99" s="15" t="n">
        <x:v>5</x:v>
      </x:c>
      <x:c r="N99" s="15" t="n">
        <x:v>4</x:v>
      </x:c>
      <x:c r="O99" s="15" t="str">
        <x:v>NO_APLICA</x:v>
      </x:c>
      <x:c r="P99" s="15" t="str">
        <x:v>Lona orillo rojo DEMO</x:v>
      </x:c>
      <x:c r="Q99" s="15" t="str">
        <x:v>ESTANDAR</x:v>
      </x:c>
      <x:c r="R99" s="15" t="str">
        <x:v>m² simulado</x:v>
      </x:c>
      <x:c r="S99" s="15" t="n">
        <x:v>1.1</x:v>
      </x:c>
      <x:c r="T99" s="15" t="n">
        <x:v>22</x:v>
      </x:c>
      <x:c r="U99" s="15" t="n">
        <x:v>18</x:v>
      </x:c>
      <x:c r="V99" s="15" t="n">
        <x:v>4</x:v>
      </x:c>
      <x:c r="W99" s="15" t="str">
        <x:v>FALTANTE_EN_ESCENARIO</x:v>
      </x:c>
      <x:c r="X99" s="15" t="n">
        <x:v>122</x:v>
      </x:c>
      <x:c r="Y99" s="15" t="n">
        <x:v>2440</x:v>
      </x:c>
      <x:c r="Z99" s="15" t="n">
        <x:v>319.15</x:v>
      </x:c>
      <x:c r="AA99" s="28" t="n">
        <x:v>2120.85</x:v>
      </x:c>
      <x:c r="AB99" s="15" t="n">
        <x:v>26</x:v>
      </x:c>
      <x:c r="AC99" s="28" t="n">
        <x:v>572</x:v>
      </x:c>
      <x:c r="AD99" s="28" t="n">
        <x:v>1548.85</x:v>
      </x:c>
      <x:c r="AE99" s="15" t="str">
        <x:v>FALTA_STOCK</x:v>
      </x:c>
      <x:c r="AF99" s="15" t="str">
        <x:v>true</x:v>
      </x:c>
    </x:row>
    <x:row r="100">
      <x:c r="A100" s="15" t="str">
        <x:v>SYN-099</x:v>
      </x:c>
      <x:c r="B100" s="15" t="str">
        <x:v>Tapizado de moto</x:v>
      </x:c>
      <x:c r="C100" s="15" t="n">
        <x:v>13.11</x:v>
      </x:c>
      <x:c r="D100" s="15" t="n">
        <x:v>1</x:v>
      </x:c>
      <x:c r="E100" s="15" t="n">
        <x:v>1</x:v>
      </x:c>
      <x:c r="F100" s="15" t="n">
        <x:v>66</x:v>
      </x:c>
      <x:c r="G100" s="15" t="n">
        <x:v>40</x:v>
      </x:c>
      <x:c r="H100" s="15" t="n">
        <x:v>0</x:v>
      </x:c>
      <x:c r="I100" s="15" t="str">
        <x:v>CONCRETADA</x:v>
      </x:c>
      <x:c r="J100" s="15" t="n">
        <x:v>1</x:v>
      </x:c>
      <x:c r="K100" s="15" t="str">
        <x:v>true</x:v>
      </x:c>
      <x:c r="L100" s="15" t="n">
        <x:v>3299.12</x:v>
      </x:c>
      <x:c r="M100" s="15" t="n">
        <x:v>6</x:v>
      </x:c>
      <x:c r="N100" s="15" t="n">
        <x:v>4</x:v>
      </x:c>
      <x:c r="O100" s="15" t="str">
        <x:v>NO_APLICA</x:v>
      </x:c>
      <x:c r="P100" s="15" t="str">
        <x:v>Oxford DEMO</x:v>
      </x:c>
      <x:c r="Q100" s="15" t="str">
        <x:v>NO_APLICA</x:v>
      </x:c>
      <x:c r="R100" s="15" t="str">
        <x:v>m² equivalente DEMO</x:v>
      </x:c>
      <x:c r="S100" s="15" t="n">
        <x:v>0.55</x:v>
      </x:c>
      <x:c r="T100" s="15" t="n">
        <x:v>13.2</x:v>
      </x:c>
      <x:c r="U100" s="15" t="n">
        <x:v>9</x:v>
      </x:c>
      <x:c r="V100" s="15" t="n">
        <x:v>4.2</x:v>
      </x:c>
      <x:c r="W100" s="15" t="str">
        <x:v>FALTANTE_EN_ESCENARIO</x:v>
      </x:c>
      <x:c r="X100" s="15" t="n">
        <x:v>155</x:v>
      </x:c>
      <x:c r="Y100" s="15" t="n">
        <x:v>3720</x:v>
      </x:c>
      <x:c r="Z100" s="15" t="n">
        <x:v>487.69</x:v>
      </x:c>
      <x:c r="AA100" s="28" t="n">
        <x:v>3232.31</x:v>
      </x:c>
      <x:c r="AB100" s="15" t="n">
        <x:v>38</x:v>
      </x:c>
      <x:c r="AC100" s="28" t="n">
        <x:v>501.6</x:v>
      </x:c>
      <x:c r="AD100" s="28" t="n">
        <x:v>2730.71</x:v>
      </x:c>
      <x:c r="AE100" s="15" t="str">
        <x:v>FALTA_STOCK</x:v>
      </x:c>
      <x:c r="AF100" s="15" t="str">
        <x:v>true</x:v>
      </x:c>
    </x:row>
    <x:row r="101">
      <x:c r="A101" s="15" t="str">
        <x:v>SYN-100</x:v>
      </x:c>
      <x:c r="B101" s="15" t="str">
        <x:v>Carpas</x:v>
      </x:c>
      <x:c r="C101" s="15" t="n">
        <x:v>13.41</x:v>
      </x:c>
      <x:c r="D101" s="15" t="n">
        <x:v>1</x:v>
      </x:c>
      <x:c r="E101" s="15" t="n">
        <x:v>0</x:v>
      </x:c>
      <x:c r="F101" s="15" t="n">
        <x:v>34</x:v>
      </x:c>
      <x:c r="G101" s="15" t="n">
        <x:v>53</x:v>
      </x:c>
      <x:c r="H101" s="15" t="n">
        <x:v>6</x:v>
      </x:c>
      <x:c r="I101" s="15" t="str">
        <x:v>CONCRETADA</x:v>
      </x:c>
      <x:c r="J101" s="15" t="n">
        <x:v>1</x:v>
      </x:c>
      <x:c r="K101" s="15" t="str">
        <x:v>true</x:v>
      </x:c>
      <x:c r="L101" s="15" t="n">
        <x:v>1536.96</x:v>
      </x:c>
      <x:c r="M101" s="15" t="n">
        <x:v>3</x:v>
      </x:c>
      <x:c r="N101" s="15" t="n">
        <x:v>3</x:v>
      </x:c>
      <x:c r="O101" s="15" t="str">
        <x:v>ABIERTA</x:v>
      </x:c>
      <x:c r="P101" s="15" t="str">
        <x:v>Lino pesado DEMO</x:v>
      </x:c>
      <x:c r="Q101" s="15" t="str">
        <x:v>PESADO</x:v>
      </x:c>
      <x:c r="R101" s="15" t="str">
        <x:v>m² simulado</x:v>
      </x:c>
      <x:c r="S101" s="15" t="n">
        <x:v>1.12</x:v>
      </x:c>
      <x:c r="T101" s="15" t="n">
        <x:v>10.08</x:v>
      </x:c>
      <x:c r="U101" s="15" t="n">
        <x:v>20</x:v>
      </x:c>
      <x:c r="V101" s="15" t="n">
        <x:v>0</x:v>
      </x:c>
      <x:c r="W101" s="15" t="str">
        <x:v>SUFICIENTE_EN_ESCENARIO</x:v>
      </x:c>
      <x:c r="X101" s="15" t="n">
        <x:v>125</x:v>
      </x:c>
      <x:c r="Y101" s="15" t="n">
        <x:v>1125</x:v>
      </x:c>
      <x:c r="Z101" s="15" t="n">
        <x:v>150.86</x:v>
      </x:c>
      <x:c r="AA101" s="28" t="n">
        <x:v>974.14</x:v>
      </x:c>
      <x:c r="AB101" s="15" t="n">
        <x:v>29</x:v>
      </x:c>
      <x:c r="AC101" s="28" t="n">
        <x:v>292.32</x:v>
      </x:c>
      <x:c r="AD101" s="28" t="n">
        <x:v>681.82</x:v>
      </x:c>
      <x:c r="AE101" s="15" t="str">
        <x:v>FACTIBLE_CON_REGLAS_SINTETICAS</x:v>
      </x:c>
      <x:c r="AF101" s="15" t="str">
        <x:v>true</x:v>
      </x:c>
    </x:row>
    <x:row r="102">
      <x:c r="A102" s="15" t="str">
        <x:v>SYN-101</x:v>
      </x:c>
      <x:c r="B102" s="15" t="str">
        <x:v>Toldos</x:v>
      </x:c>
      <x:c r="C102" s="15" t="n">
        <x:v>2.51</x:v>
      </x:c>
      <x:c r="D102" s="15" t="n">
        <x:v>0</x:v>
      </x:c>
      <x:c r="E102" s="15" t="n">
        <x:v>0</x:v>
      </x:c>
      <x:c r="F102" s="15" t="n">
        <x:v>33</x:v>
      </x:c>
      <x:c r="G102" s="15" t="n">
        <x:v>83</x:v>
      </x:c>
      <x:c r="H102" s="15" t="n">
        <x:v>20</x:v>
      </x:c>
      <x:c r="I102" s="15" t="str">
        <x:v>NO_CONCRETADA</x:v>
      </x:c>
      <x:c r="J102" s="15" t="n">
        <x:v>0</x:v>
      </x:c>
      <x:c r="K102" s="15" t="str">
        <x:v>true</x:v>
      </x:c>
      <x:c r="L102" s="15" t="n">
        <x:v>5471.66</x:v>
      </x:c>
      <x:c r="M102" s="15" t="n">
        <x:v>4</x:v>
      </x:c>
      <x:c r="N102" s="15" t="n">
        <x:v>3</x:v>
      </x:c>
      <x:c r="O102" s="15" t="str">
        <x:v>NO_APLICA</x:v>
      </x:c>
      <x:c r="P102" s="15" t="str">
        <x:v>Lona orillo rojo DEMO</x:v>
      </x:c>
      <x:c r="Q102" s="15" t="str">
        <x:v>ESTANDAR</x:v>
      </x:c>
      <x:c r="R102" s="15" t="str">
        <x:v>m² simulado</x:v>
      </x:c>
      <x:c r="S102" s="15" t="n">
        <x:v>1.1</x:v>
      </x:c>
      <x:c r="T102" s="15" t="n">
        <x:v>13.2</x:v>
      </x:c>
      <x:c r="U102" s="15" t="n">
        <x:v>18</x:v>
      </x:c>
      <x:c r="V102" s="15" t="n">
        <x:v>0</x:v>
      </x:c>
      <x:c r="W102" s="15" t="str">
        <x:v>SUFICIENTE_EN_ESCENARIO</x:v>
      </x:c>
      <x:c r="X102" s="15" t="n">
        <x:v>122</x:v>
      </x:c>
      <x:c r="Y102" s="15" t="n">
        <x:v>1464</x:v>
      </x:c>
      <x:c r="Z102" s="15" t="n">
        <x:v>36.75</x:v>
      </x:c>
      <x:c r="AA102" s="28" t="n">
        <x:v>1427.25</x:v>
      </x:c>
      <x:c r="AB102" s="15" t="n">
        <x:v>26</x:v>
      </x:c>
      <x:c r="AC102" s="28" t="n">
        <x:v>343.2</x:v>
      </x:c>
      <x:c r="AD102" s="28" t="n">
        <x:v>1084.05</x:v>
      </x:c>
      <x:c r="AE102" s="15" t="str">
        <x:v>REVISAR_DATOS</x:v>
      </x:c>
      <x:c r="AF102" s="15" t="str">
        <x:v>true</x:v>
      </x:c>
    </x:row>
    <x:row r="103">
      <x:c r="A103" s="15" t="str">
        <x:v>SYN-102</x:v>
      </x:c>
      <x:c r="B103" s="15" t="str">
        <x:v>Tapizado de moto</x:v>
      </x:c>
      <x:c r="C103" s="15" t="n">
        <x:v>12.77</x:v>
      </x:c>
      <x:c r="D103" s="15" t="n">
        <x:v>1</x:v>
      </x:c>
      <x:c r="E103" s="15" t="n">
        <x:v>1</x:v>
      </x:c>
      <x:c r="F103" s="15" t="n">
        <x:v>26</x:v>
      </x:c>
      <x:c r="G103" s="15" t="n">
        <x:v>16</x:v>
      </x:c>
      <x:c r="H103" s="15" t="n">
        <x:v>5</x:v>
      </x:c>
      <x:c r="I103" s="15" t="str">
        <x:v>NO_CONCRETADA</x:v>
      </x:c>
      <x:c r="J103" s="15" t="n">
        <x:v>0</x:v>
      </x:c>
      <x:c r="K103" s="15" t="str">
        <x:v>true</x:v>
      </x:c>
      <x:c r="L103" s="15" t="n">
        <x:v>3243.05</x:v>
      </x:c>
      <x:c r="M103" s="15" t="n">
        <x:v>4</x:v>
      </x:c>
      <x:c r="N103" s="15" t="n">
        <x:v>3</x:v>
      </x:c>
      <x:c r="O103" s="15" t="str">
        <x:v>NO_APLICA</x:v>
      </x:c>
      <x:c r="P103" s="15" t="str">
        <x:v>Oxford DEMO</x:v>
      </x:c>
      <x:c r="Q103" s="15" t="str">
        <x:v>NO_APLICA</x:v>
      </x:c>
      <x:c r="R103" s="15" t="str">
        <x:v>m² equivalente DEMO</x:v>
      </x:c>
      <x:c r="S103" s="15" t="n">
        <x:v>0.55</x:v>
      </x:c>
      <x:c r="T103" s="15" t="n">
        <x:v>6.6</x:v>
      </x:c>
      <x:c r="U103" s="15" t="n">
        <x:v>9</x:v>
      </x:c>
      <x:c r="V103" s="15" t="n">
        <x:v>0</x:v>
      </x:c>
      <x:c r="W103" s="15" t="str">
        <x:v>SUFICIENTE_EN_ESCENARIO</x:v>
      </x:c>
      <x:c r="X103" s="15" t="n">
        <x:v>155</x:v>
      </x:c>
      <x:c r="Y103" s="15" t="n">
        <x:v>1860</x:v>
      </x:c>
      <x:c r="Z103" s="15" t="n">
        <x:v>237.52</x:v>
      </x:c>
      <x:c r="AA103" s="28" t="n">
        <x:v>1622.48</x:v>
      </x:c>
      <x:c r="AB103" s="15" t="n">
        <x:v>38</x:v>
      </x:c>
      <x:c r="AC103" s="28" t="n">
        <x:v>250.8</x:v>
      </x:c>
      <x:c r="AD103" s="28" t="n">
        <x:v>1371.68</x:v>
      </x:c>
      <x:c r="AE103" s="15" t="str">
        <x:v>FACTIBLE_CON_REGLAS_SINTETICAS</x:v>
      </x:c>
      <x:c r="AF103" s="15" t="str">
        <x:v>true</x:v>
      </x:c>
    </x:row>
    <x:row r="104">
      <x:c r="A104" s="15" t="str">
        <x:v>SYN-103</x:v>
      </x:c>
      <x:c r="B104" s="15" t="str">
        <x:v>Carpas</x:v>
      </x:c>
      <x:c r="C104" s="15" t="n">
        <x:v>14.63</x:v>
      </x:c>
      <x:c r="D104" s="15" t="n">
        <x:v>0</x:v>
      </x:c>
      <x:c r="E104" s="15" t="n">
        <x:v>0</x:v>
      </x:c>
      <x:c r="F104" s="15" t="n">
        <x:v>23</x:v>
      </x:c>
      <x:c r="G104" s="15" t="n">
        <x:v>54</x:v>
      </x:c>
      <x:c r="H104" s="15" t="n">
        <x:v>15</x:v>
      </x:c>
      <x:c r="I104" s="15" t="str">
        <x:v>NO_CONCRETADA</x:v>
      </x:c>
      <x:c r="J104" s="15" t="n">
        <x:v>0</x:v>
      </x:c>
      <x:c r="K104" s="15" t="str">
        <x:v>true</x:v>
      </x:c>
      <x:c r="L104" s="15" t="n">
        <x:v>3857.1</x:v>
      </x:c>
      <x:c r="M104" s="15" t="n">
        <x:v>4</x:v>
      </x:c>
      <x:c r="N104" s="15" t="n">
        <x:v>3</x:v>
      </x:c>
      <x:c r="O104" s="15" t="str">
        <x:v>ABIERTA</x:v>
      </x:c>
      <x:c r="P104" s="15" t="str">
        <x:v>Lino liviano DEMO</x:v>
      </x:c>
      <x:c r="Q104" s="15" t="str">
        <x:v>LIVIANO</x:v>
      </x:c>
      <x:c r="R104" s="15" t="str">
        <x:v>m² simulado</x:v>
      </x:c>
      <x:c r="S104" s="15" t="n">
        <x:v>1.12</x:v>
      </x:c>
      <x:c r="T104" s="15" t="n">
        <x:v>13.44</x:v>
      </x:c>
      <x:c r="U104" s="15" t="n">
        <x:v>28</x:v>
      </x:c>
      <x:c r="V104" s="15" t="n">
        <x:v>0</x:v>
      </x:c>
      <x:c r="W104" s="15" t="str">
        <x:v>SUFICIENTE_EN_ESCENARIO</x:v>
      </x:c>
      <x:c r="X104" s="15" t="n">
        <x:v>108</x:v>
      </x:c>
      <x:c r="Y104" s="15" t="n">
        <x:v>1296</x:v>
      </x:c>
      <x:c r="Z104" s="15" t="n">
        <x:v>189.6</x:v>
      </x:c>
      <x:c r="AA104" s="28" t="n">
        <x:v>1106.4</x:v>
      </x:c>
      <x:c r="AB104" s="15" t="n">
        <x:v>22</x:v>
      </x:c>
      <x:c r="AC104" s="28" t="n">
        <x:v>295.68</x:v>
      </x:c>
      <x:c r="AD104" s="28" t="n">
        <x:v>810.72</x:v>
      </x:c>
      <x:c r="AE104" s="15" t="str">
        <x:v>REVISAR_DATOS</x:v>
      </x:c>
      <x:c r="AF104" s="15" t="str">
        <x:v>true</x:v>
      </x:c>
    </x:row>
    <x:row r="105">
      <x:c r="A105" s="15" t="str">
        <x:v>SYN-104</x:v>
      </x:c>
      <x:c r="B105" s="15" t="str">
        <x:v>Toldos</x:v>
      </x:c>
      <x:c r="C105" s="15" t="n">
        <x:v>12.45</x:v>
      </x:c>
      <x:c r="D105" s="15" t="n">
        <x:v>1</x:v>
      </x:c>
      <x:c r="E105" s="15" t="n">
        <x:v>0</x:v>
      </x:c>
      <x:c r="F105" s="15" t="n">
        <x:v>71</x:v>
      </x:c>
      <x:c r="G105" s="15" t="n">
        <x:v>39</x:v>
      </x:c>
      <x:c r="H105" s="15" t="n">
        <x:v>9</x:v>
      </x:c>
      <x:c r="I105" s="15" t="str">
        <x:v>CONCRETADA</x:v>
      </x:c>
      <x:c r="J105" s="15" t="n">
        <x:v>1</x:v>
      </x:c>
      <x:c r="K105" s="15" t="str">
        <x:v>true</x:v>
      </x:c>
      <x:c r="L105" s="15" t="n">
        <x:v>3675.01</x:v>
      </x:c>
      <x:c r="M105" s="15" t="n">
        <x:v>5</x:v>
      </x:c>
      <x:c r="N105" s="15" t="n">
        <x:v>4</x:v>
      </x:c>
      <x:c r="O105" s="15" t="str">
        <x:v>NO_APLICA</x:v>
      </x:c>
      <x:c r="P105" s="15" t="str">
        <x:v>Lona orillo azul DEMO</x:v>
      </x:c>
      <x:c r="Q105" s="15" t="str">
        <x:v>ESTANDAR</x:v>
      </x:c>
      <x:c r="R105" s="15" t="str">
        <x:v>m² simulado</x:v>
      </x:c>
      <x:c r="S105" s="15" t="n">
        <x:v>1.1</x:v>
      </x:c>
      <x:c r="T105" s="15" t="n">
        <x:v>22</x:v>
      </x:c>
      <x:c r="U105" s="15" t="n">
        <x:v>22</x:v>
      </x:c>
      <x:c r="V105" s="15" t="n">
        <x:v>0</x:v>
      </x:c>
      <x:c r="W105" s="15" t="str">
        <x:v>SUFICIENTE_EN_ESCENARIO</x:v>
      </x:c>
      <x:c r="X105" s="15" t="n">
        <x:v>120</x:v>
      </x:c>
      <x:c r="Y105" s="15" t="n">
        <x:v>2400</x:v>
      </x:c>
      <x:c r="Z105" s="15" t="n">
        <x:v>298.8</x:v>
      </x:c>
      <x:c r="AA105" s="28" t="n">
        <x:v>2101.2</x:v>
      </x:c>
      <x:c r="AB105" s="15" t="n">
        <x:v>25</x:v>
      </x:c>
      <x:c r="AC105" s="28" t="n">
        <x:v>550</x:v>
      </x:c>
      <x:c r="AD105" s="28" t="n">
        <x:v>1551.2</x:v>
      </x:c>
      <x:c r="AE105" s="15" t="str">
        <x:v>FACTIBLE_CON_REGLAS_SINTETICAS</x:v>
      </x:c>
      <x:c r="AF105" s="15" t="str">
        <x:v>true</x:v>
      </x:c>
    </x:row>
    <x:row r="106">
      <x:c r="A106" s="15" t="str">
        <x:v>SYN-105</x:v>
      </x:c>
      <x:c r="B106" s="15" t="str">
        <x:v>Tapizado de moto</x:v>
      </x:c>
      <x:c r="C106" s="15" t="n">
        <x:v>14.71</x:v>
      </x:c>
      <x:c r="D106" s="15" t="n">
        <x:v>0</x:v>
      </x:c>
      <x:c r="E106" s="15" t="n">
        <x:v>0</x:v>
      </x:c>
      <x:c r="F106" s="15" t="n">
        <x:v>29</x:v>
      </x:c>
      <x:c r="G106" s="15" t="n">
        <x:v>30</x:v>
      </x:c>
      <x:c r="H106" s="15" t="n">
        <x:v>9</x:v>
      </x:c>
      <x:c r="I106" s="15" t="str">
        <x:v>NO_CONCRETADA</x:v>
      </x:c>
      <x:c r="J106" s="15" t="n">
        <x:v>0</x:v>
      </x:c>
      <x:c r="K106" s="15" t="str">
        <x:v>true</x:v>
      </x:c>
      <x:c r="L106" s="15" t="n">
        <x:v>4295.33</x:v>
      </x:c>
      <x:c r="M106" s="15" t="n">
        <x:v>3</x:v>
      </x:c>
      <x:c r="N106" s="15" t="n">
        <x:v>3</x:v>
      </x:c>
      <x:c r="O106" s="15" t="str">
        <x:v>NO_APLICA</x:v>
      </x:c>
      <x:c r="P106" s="15" t="str">
        <x:v>Oxford DEMO</x:v>
      </x:c>
      <x:c r="Q106" s="15" t="str">
        <x:v>NO_APLICA</x:v>
      </x:c>
      <x:c r="R106" s="15" t="str">
        <x:v>m² equivalente DEMO</x:v>
      </x:c>
      <x:c r="S106" s="15" t="n">
        <x:v>0.55</x:v>
      </x:c>
      <x:c r="T106" s="15" t="n">
        <x:v>4.95</x:v>
      </x:c>
      <x:c r="U106" s="15" t="n">
        <x:v>9</x:v>
      </x:c>
      <x:c r="V106" s="15" t="n">
        <x:v>0</x:v>
      </x:c>
      <x:c r="W106" s="15" t="str">
        <x:v>SUFICIENTE_EN_ESCENARIO</x:v>
      </x:c>
      <x:c r="X106" s="15" t="n">
        <x:v>155</x:v>
      </x:c>
      <x:c r="Y106" s="15" t="n">
        <x:v>1395</x:v>
      </x:c>
      <x:c r="Z106" s="15" t="n">
        <x:v>205.2</x:v>
      </x:c>
      <x:c r="AA106" s="28" t="n">
        <x:v>1189.8</x:v>
      </x:c>
      <x:c r="AB106" s="15" t="n">
        <x:v>38</x:v>
      </x:c>
      <x:c r="AC106" s="28" t="n">
        <x:v>188.1</x:v>
      </x:c>
      <x:c r="AD106" s="28" t="n">
        <x:v>1001.7</x:v>
      </x:c>
      <x:c r="AE106" s="15" t="str">
        <x:v>REVISAR_DATOS</x:v>
      </x:c>
      <x:c r="AF106" s="15" t="str">
        <x:v>true</x:v>
      </x:c>
    </x:row>
    <x:row r="107">
      <x:c r="A107" s="15" t="str">
        <x:v>SYN-106</x:v>
      </x:c>
      <x:c r="B107" s="15" t="str">
        <x:v>Carpas</x:v>
      </x:c>
      <x:c r="C107" s="15" t="n">
        <x:v>14.74</x:v>
      </x:c>
      <x:c r="D107" s="15" t="n">
        <x:v>1</x:v>
      </x:c>
      <x:c r="E107" s="15" t="n">
        <x:v>1</x:v>
      </x:c>
      <x:c r="F107" s="15" t="n">
        <x:v>74</x:v>
      </x:c>
      <x:c r="G107" s="15" t="n">
        <x:v>24</x:v>
      </x:c>
      <x:c r="H107" s="15" t="n">
        <x:v>5</x:v>
      </x:c>
      <x:c r="I107" s="15" t="str">
        <x:v>CONCRETADA</x:v>
      </x:c>
      <x:c r="J107" s="15" t="n">
        <x:v>1</x:v>
      </x:c>
      <x:c r="K107" s="15" t="str">
        <x:v>true</x:v>
      </x:c>
      <x:c r="L107" s="15" t="n">
        <x:v>1010.41</x:v>
      </x:c>
      <x:c r="M107" s="15" t="n">
        <x:v>4</x:v>
      </x:c>
      <x:c r="N107" s="15" t="n">
        <x:v>3</x:v>
      </x:c>
      <x:c r="O107" s="15" t="str">
        <x:v>ABIERTA</x:v>
      </x:c>
      <x:c r="P107" s="15" t="str">
        <x:v>Lino liviano DEMO</x:v>
      </x:c>
      <x:c r="Q107" s="15" t="str">
        <x:v>LIVIANO</x:v>
      </x:c>
      <x:c r="R107" s="15" t="str">
        <x:v>m² simulado</x:v>
      </x:c>
      <x:c r="S107" s="15" t="n">
        <x:v>1.12</x:v>
      </x:c>
      <x:c r="T107" s="15" t="n">
        <x:v>13.44</x:v>
      </x:c>
      <x:c r="U107" s="15" t="n">
        <x:v>28</x:v>
      </x:c>
      <x:c r="V107" s="15" t="n">
        <x:v>0</x:v>
      </x:c>
      <x:c r="W107" s="15" t="str">
        <x:v>SUFICIENTE_EN_ESCENARIO</x:v>
      </x:c>
      <x:c r="X107" s="15" t="n">
        <x:v>108</x:v>
      </x:c>
      <x:c r="Y107" s="15" t="n">
        <x:v>1296</x:v>
      </x:c>
      <x:c r="Z107" s="15" t="n">
        <x:v>191.03</x:v>
      </x:c>
      <x:c r="AA107" s="28" t="n">
        <x:v>1104.97</x:v>
      </x:c>
      <x:c r="AB107" s="15" t="n">
        <x:v>22</x:v>
      </x:c>
      <x:c r="AC107" s="28" t="n">
        <x:v>295.68</x:v>
      </x:c>
      <x:c r="AD107" s="28" t="n">
        <x:v>809.29</x:v>
      </x:c>
      <x:c r="AE107" s="15" t="str">
        <x:v>FACTIBLE_CON_REGLAS_SINTETICAS</x:v>
      </x:c>
      <x:c r="AF107" s="15" t="str">
        <x:v>true</x:v>
      </x:c>
    </x:row>
    <x:row r="108">
      <x:c r="A108" s="15" t="str">
        <x:v>SYN-107</x:v>
      </x:c>
      <x:c r="B108" s="15" t="str">
        <x:v>Toldos</x:v>
      </x:c>
      <x:c r="C108" s="15" t="n">
        <x:v>10.55</x:v>
      </x:c>
      <x:c r="D108" s="15" t="n">
        <x:v>1</x:v>
      </x:c>
      <x:c r="E108" s="15" t="n">
        <x:v>1</x:v>
      </x:c>
      <x:c r="F108" s="15" t="n">
        <x:v>18</x:v>
      </x:c>
      <x:c r="G108" s="15" t="n">
        <x:v>52</x:v>
      </x:c>
      <x:c r="H108" s="15" t="n">
        <x:v>17</x:v>
      </x:c>
      <x:c r="I108" s="15" t="str">
        <x:v>NO_CONCRETADA</x:v>
      </x:c>
      <x:c r="J108" s="15" t="n">
        <x:v>0</x:v>
      </x:c>
      <x:c r="K108" s="15" t="str">
        <x:v>true</x:v>
      </x:c>
      <x:c r="L108" s="15" t="n">
        <x:v>7413.48</x:v>
      </x:c>
      <x:c r="M108" s="15" t="n">
        <x:v>6</x:v>
      </x:c>
      <x:c r="N108" s="15" t="n">
        <x:v>4</x:v>
      </x:c>
      <x:c r="O108" s="15" t="str">
        <x:v>NO_APLICA</x:v>
      </x:c>
      <x:c r="P108" s="15" t="str">
        <x:v>Tarflex DEMO</x:v>
      </x:c>
      <x:c r="Q108" s="15" t="str">
        <x:v>ESTANDAR</x:v>
      </x:c>
      <x:c r="R108" s="15" t="str">
        <x:v>m² simulado</x:v>
      </x:c>
      <x:c r="S108" s="15" t="n">
        <x:v>1.1</x:v>
      </x:c>
      <x:c r="T108" s="15" t="n">
        <x:v>26.4</x:v>
      </x:c>
      <x:c r="U108" s="15" t="n">
        <x:v>24</x:v>
      </x:c>
      <x:c r="V108" s="15" t="n">
        <x:v>2.4</x:v>
      </x:c>
      <x:c r="W108" s="15" t="str">
        <x:v>FALTANTE_EN_ESCENARIO</x:v>
      </x:c>
      <x:c r="X108" s="15" t="n">
        <x:v>112</x:v>
      </x:c>
      <x:c r="Y108" s="15" t="n">
        <x:v>2688</x:v>
      </x:c>
      <x:c r="Z108" s="15" t="n">
        <x:v>283.58</x:v>
      </x:c>
      <x:c r="AA108" s="28" t="n">
        <x:v>2404.42</x:v>
      </x:c>
      <x:c r="AB108" s="15" t="n">
        <x:v>23</x:v>
      </x:c>
      <x:c r="AC108" s="28" t="n">
        <x:v>607.2</x:v>
      </x:c>
      <x:c r="AD108" s="28" t="n">
        <x:v>1797.22</x:v>
      </x:c>
      <x:c r="AE108" s="15" t="str">
        <x:v>FALTA_STOCK</x:v>
      </x:c>
      <x:c r="AF108" s="15" t="str">
        <x:v>true</x:v>
      </x:c>
    </x:row>
    <x:row r="109">
      <x:c r="A109" s="15" t="str">
        <x:v>SYN-108</x:v>
      </x:c>
      <x:c r="B109" s="15" t="str">
        <x:v>Tapizado de moto</x:v>
      </x:c>
      <x:c r="C109" s="15" t="n">
        <x:v>15.69</x:v>
      </x:c>
      <x:c r="D109" s="15" t="n">
        <x:v>1</x:v>
      </x:c>
      <x:c r="E109" s="15" t="n">
        <x:v>1</x:v>
      </x:c>
      <x:c r="F109" s="15" t="n">
        <x:v>68</x:v>
      </x:c>
      <x:c r="G109" s="15" t="n">
        <x:v>71</x:v>
      </x:c>
      <x:c r="H109" s="15" t="n">
        <x:v>19</x:v>
      </x:c>
      <x:c r="I109" s="15" t="str">
        <x:v>NO_CONCRETADA</x:v>
      </x:c>
      <x:c r="J109" s="15" t="n">
        <x:v>0</x:v>
      </x:c>
      <x:c r="K109" s="15" t="str">
        <x:v>true</x:v>
      </x:c>
      <x:c r="L109" s="15" t="n">
        <x:v>3820.42</x:v>
      </x:c>
      <x:c r="M109" s="15" t="n">
        <x:v>5</x:v>
      </x:c>
      <x:c r="N109" s="15" t="n">
        <x:v>4</x:v>
      </x:c>
      <x:c r="O109" s="15" t="str">
        <x:v>NO_APLICA</x:v>
      </x:c>
      <x:c r="P109" s="15" t="str">
        <x:v>Oxford DEMO</x:v>
      </x:c>
      <x:c r="Q109" s="15" t="str">
        <x:v>NO_APLICA</x:v>
      </x:c>
      <x:c r="R109" s="15" t="str">
        <x:v>m² equivalente DEMO</x:v>
      </x:c>
      <x:c r="S109" s="15" t="n">
        <x:v>0.55</x:v>
      </x:c>
      <x:c r="T109" s="15" t="n">
        <x:v>11</x:v>
      </x:c>
      <x:c r="U109" s="15" t="n">
        <x:v>9</x:v>
      </x:c>
      <x:c r="V109" s="15" t="n">
        <x:v>2</x:v>
      </x:c>
      <x:c r="W109" s="15" t="str">
        <x:v>FALTANTE_EN_ESCENARIO</x:v>
      </x:c>
      <x:c r="X109" s="15" t="n">
        <x:v>155</x:v>
      </x:c>
      <x:c r="Y109" s="15" t="n">
        <x:v>3100</x:v>
      </x:c>
      <x:c r="Z109" s="15" t="n">
        <x:v>486.39</x:v>
      </x:c>
      <x:c r="AA109" s="28" t="n">
        <x:v>2613.61</x:v>
      </x:c>
      <x:c r="AB109" s="15" t="n">
        <x:v>38</x:v>
      </x:c>
      <x:c r="AC109" s="28" t="n">
        <x:v>418</x:v>
      </x:c>
      <x:c r="AD109" s="28" t="n">
        <x:v>2195.61</x:v>
      </x:c>
      <x:c r="AE109" s="15" t="str">
        <x:v>FALTA_STOCK</x:v>
      </x:c>
      <x:c r="AF109" s="15" t="str">
        <x:v>true</x:v>
      </x:c>
    </x:row>
    <x:row r="110">
      <x:c r="A110" s="15" t="str">
        <x:v>SYN-109</x:v>
      </x:c>
      <x:c r="B110" s="15" t="str">
        <x:v>Carpas</x:v>
      </x:c>
      <x:c r="C110" s="15" t="n">
        <x:v>16.15</x:v>
      </x:c>
      <x:c r="D110" s="15" t="n">
        <x:v>1</x:v>
      </x:c>
      <x:c r="E110" s="15" t="n">
        <x:v>1</x:v>
      </x:c>
      <x:c r="F110" s="15" t="n">
        <x:v>36</x:v>
      </x:c>
      <x:c r="G110" s="15" t="n">
        <x:v>61</x:v>
      </x:c>
      <x:c r="H110" s="15" t="n">
        <x:v>3</x:v>
      </x:c>
      <x:c r="I110" s="15" t="str">
        <x:v>NO_CONCRETADA</x:v>
      </x:c>
      <x:c r="J110" s="15" t="n">
        <x:v>0</x:v>
      </x:c>
      <x:c r="K110" s="15" t="str">
        <x:v>true</x:v>
      </x:c>
      <x:c r="L110" s="15" t="n">
        <x:v>7990.41</x:v>
      </x:c>
      <x:c r="M110" s="15" t="n">
        <x:v>4</x:v>
      </x:c>
      <x:c r="N110" s="15" t="n">
        <x:v>3</x:v>
      </x:c>
      <x:c r="O110" s="15" t="str">
        <x:v>CERRADA</x:v>
      </x:c>
      <x:c r="P110" s="15" t="str">
        <x:v>Lino pesado DEMO</x:v>
      </x:c>
      <x:c r="Q110" s="15" t="str">
        <x:v>PESADO</x:v>
      </x:c>
      <x:c r="R110" s="15" t="str">
        <x:v>m² simulado</x:v>
      </x:c>
      <x:c r="S110" s="15" t="n">
        <x:v>1.55</x:v>
      </x:c>
      <x:c r="T110" s="15" t="n">
        <x:v>18.6</x:v>
      </x:c>
      <x:c r="U110" s="15" t="n">
        <x:v>20</x:v>
      </x:c>
      <x:c r="V110" s="15" t="n">
        <x:v>0</x:v>
      </x:c>
      <x:c r="W110" s="15" t="str">
        <x:v>SUFICIENTE_EN_ESCENARIO</x:v>
      </x:c>
      <x:c r="X110" s="15" t="n">
        <x:v>125</x:v>
      </x:c>
      <x:c r="Y110" s="15" t="n">
        <x:v>2025</x:v>
      </x:c>
      <x:c r="Z110" s="15" t="n">
        <x:v>327.04</x:v>
      </x:c>
      <x:c r="AA110" s="28" t="n">
        <x:v>1697.96</x:v>
      </x:c>
      <x:c r="AB110" s="15" t="n">
        <x:v>29</x:v>
      </x:c>
      <x:c r="AC110" s="28" t="n">
        <x:v>539.4</x:v>
      </x:c>
      <x:c r="AD110" s="28" t="n">
        <x:v>1158.56</x:v>
      </x:c>
      <x:c r="AE110" s="15" t="str">
        <x:v>FACTIBLE_CON_REGLAS_SINTETICAS</x:v>
      </x:c>
      <x:c r="AF110" s="15" t="str">
        <x:v>true</x:v>
      </x:c>
    </x:row>
    <x:row r="111">
      <x:c r="A111" s="15" t="str">
        <x:v>SYN-110</x:v>
      </x:c>
      <x:c r="B111" s="15" t="str">
        <x:v>Toldos</x:v>
      </x:c>
      <x:c r="C111" s="15" t="n">
        <x:v>9.83</x:v>
      </x:c>
      <x:c r="D111" s="15" t="n">
        <x:v>0</x:v>
      </x:c>
      <x:c r="E111" s="15" t="n">
        <x:v>0</x:v>
      </x:c>
      <x:c r="F111" s="15" t="n">
        <x:v>2</x:v>
      </x:c>
      <x:c r="G111" s="15" t="n">
        <x:v>25</x:v>
      </x:c>
      <x:c r="H111" s="15" t="n">
        <x:v>10</x:v>
      </x:c>
      <x:c r="I111" s="15" t="str">
        <x:v>NO_CONCRETADA</x:v>
      </x:c>
      <x:c r="J111" s="15" t="n">
        <x:v>0</x:v>
      </x:c>
      <x:c r="K111" s="15" t="str">
        <x:v>true</x:v>
      </x:c>
      <x:c r="L111" s="15" t="n">
        <x:v>7590.23</x:v>
      </x:c>
      <x:c r="M111" s="15" t="n">
        <x:v>5</x:v>
      </x:c>
      <x:c r="N111" s="15" t="n">
        <x:v>4</x:v>
      </x:c>
      <x:c r="O111" s="15" t="str">
        <x:v>NO_APLICA</x:v>
      </x:c>
      <x:c r="P111" s="15" t="str">
        <x:v>Lona orillo azul DEMO</x:v>
      </x:c>
      <x:c r="Q111" s="15" t="str">
        <x:v>ESTANDAR</x:v>
      </x:c>
      <x:c r="R111" s="15" t="str">
        <x:v>m² simulado</x:v>
      </x:c>
      <x:c r="S111" s="15" t="n">
        <x:v>1.1</x:v>
      </x:c>
      <x:c r="T111" s="15" t="n">
        <x:v>22</x:v>
      </x:c>
      <x:c r="U111" s="15" t="n">
        <x:v>22</x:v>
      </x:c>
      <x:c r="V111" s="15" t="n">
        <x:v>0</x:v>
      </x:c>
      <x:c r="W111" s="15" t="str">
        <x:v>SUFICIENTE_EN_ESCENARIO</x:v>
      </x:c>
      <x:c r="X111" s="15" t="n">
        <x:v>120</x:v>
      </x:c>
      <x:c r="Y111" s="15" t="n">
        <x:v>2400</x:v>
      </x:c>
      <x:c r="Z111" s="15" t="n">
        <x:v>235.92</x:v>
      </x:c>
      <x:c r="AA111" s="28" t="n">
        <x:v>2164.08</x:v>
      </x:c>
      <x:c r="AB111" s="15" t="n">
        <x:v>25</x:v>
      </x:c>
      <x:c r="AC111" s="28" t="n">
        <x:v>550</x:v>
      </x:c>
      <x:c r="AD111" s="28" t="n">
        <x:v>1614.08</x:v>
      </x:c>
      <x:c r="AE111" s="15" t="str">
        <x:v>REVISAR_DATOS</x:v>
      </x:c>
      <x:c r="AF111" s="15" t="str">
        <x:v>true</x:v>
      </x:c>
    </x:row>
    <x:row r="112">
      <x:c r="A112" s="15" t="str">
        <x:v>SYN-111</x:v>
      </x:c>
      <x:c r="B112" s="15" t="str">
        <x:v>Tapizado de moto</x:v>
      </x:c>
      <x:c r="C112" s="15" t="n">
        <x:v>7.76</x:v>
      </x:c>
      <x:c r="D112" s="15" t="n">
        <x:v>0</x:v>
      </x:c>
      <x:c r="E112" s="15" t="n">
        <x:v>0</x:v>
      </x:c>
      <x:c r="F112" s="15" t="n">
        <x:v>69</x:v>
      </x:c>
      <x:c r="G112" s="15" t="n">
        <x:v>43</x:v>
      </x:c>
      <x:c r="H112" s="15" t="n">
        <x:v>14</x:v>
      </x:c>
      <x:c r="I112" s="15" t="str">
        <x:v>NO_CONCRETADA</x:v>
      </x:c>
      <x:c r="J112" s="15" t="n">
        <x:v>0</x:v>
      </x:c>
      <x:c r="K112" s="15" t="str">
        <x:v>true</x:v>
      </x:c>
      <x:c r="L112" s="15" t="n">
        <x:v>3309.8</x:v>
      </x:c>
      <x:c r="M112" s="15" t="n">
        <x:v>3</x:v>
      </x:c>
      <x:c r="N112" s="15" t="n">
        <x:v>2</x:v>
      </x:c>
      <x:c r="O112" s="15" t="str">
        <x:v>NO_APLICA</x:v>
      </x:c>
      <x:c r="P112" s="15" t="str">
        <x:v>Oxford DEMO</x:v>
      </x:c>
      <x:c r="Q112" s="15" t="str">
        <x:v>NO_APLICA</x:v>
      </x:c>
      <x:c r="R112" s="15" t="str">
        <x:v>m² equivalente DEMO</x:v>
      </x:c>
      <x:c r="S112" s="15" t="n">
        <x:v>0.55</x:v>
      </x:c>
      <x:c r="T112" s="15" t="n">
        <x:v>3.3</x:v>
      </x:c>
      <x:c r="U112" s="15" t="n">
        <x:v>9</x:v>
      </x:c>
      <x:c r="V112" s="15" t="n">
        <x:v>0</x:v>
      </x:c>
      <x:c r="W112" s="15" t="str">
        <x:v>SUFICIENTE_EN_ESCENARIO</x:v>
      </x:c>
      <x:c r="X112" s="15" t="n">
        <x:v>155</x:v>
      </x:c>
      <x:c r="Y112" s="15" t="n">
        <x:v>930</x:v>
      </x:c>
      <x:c r="Z112" s="15" t="n">
        <x:v>72.17</x:v>
      </x:c>
      <x:c r="AA112" s="28" t="n">
        <x:v>857.83</x:v>
      </x:c>
      <x:c r="AB112" s="15" t="n">
        <x:v>38</x:v>
      </x:c>
      <x:c r="AC112" s="28" t="n">
        <x:v>125.4</x:v>
      </x:c>
      <x:c r="AD112" s="28" t="n">
        <x:v>732.43</x:v>
      </x:c>
      <x:c r="AE112" s="15" t="str">
        <x:v>REVISAR_DATOS</x:v>
      </x:c>
      <x:c r="AF112" s="15" t="str">
        <x:v>true</x:v>
      </x:c>
    </x:row>
    <x:row r="113">
      <x:c r="A113" s="15" t="str">
        <x:v>SYN-112</x:v>
      </x:c>
      <x:c r="B113" s="15" t="str">
        <x:v>Carpas</x:v>
      </x:c>
      <x:c r="C113" s="15" t="n">
        <x:v>4.35</x:v>
      </x:c>
      <x:c r="D113" s="15" t="n">
        <x:v>1</x:v>
      </x:c>
      <x:c r="E113" s="15" t="n">
        <x:v>1</x:v>
      </x:c>
      <x:c r="F113" s="15" t="n">
        <x:v>20</x:v>
      </x:c>
      <x:c r="G113" s="15" t="n">
        <x:v>67</x:v>
      </x:c>
      <x:c r="H113" s="15" t="n">
        <x:v>20</x:v>
      </x:c>
      <x:c r="I113" s="15" t="str">
        <x:v>CONCRETADA</x:v>
      </x:c>
      <x:c r="J113" s="15" t="n">
        <x:v>1</x:v>
      </x:c>
      <x:c r="K113" s="15" t="str">
        <x:v>true</x:v>
      </x:c>
      <x:c r="L113" s="15" t="n">
        <x:v>4236.82</x:v>
      </x:c>
      <x:c r="M113" s="15" t="n">
        <x:v>5</x:v>
      </x:c>
      <x:c r="N113" s="15" t="n">
        <x:v>4</x:v>
      </x:c>
      <x:c r="O113" s="15" t="str">
        <x:v>ABIERTA</x:v>
      </x:c>
      <x:c r="P113" s="15" t="str">
        <x:v>Lino pesado DEMO</x:v>
      </x:c>
      <x:c r="Q113" s="15" t="str">
        <x:v>PESADO</x:v>
      </x:c>
      <x:c r="R113" s="15" t="str">
        <x:v>m² simulado</x:v>
      </x:c>
      <x:c r="S113" s="15" t="n">
        <x:v>1.12</x:v>
      </x:c>
      <x:c r="T113" s="15" t="n">
        <x:v>22.4</x:v>
      </x:c>
      <x:c r="U113" s="15" t="n">
        <x:v>20</x:v>
      </x:c>
      <x:c r="V113" s="15" t="n">
        <x:v>2.4</x:v>
      </x:c>
      <x:c r="W113" s="15" t="str">
        <x:v>FALTANTE_EN_ESCENARIO</x:v>
      </x:c>
      <x:c r="X113" s="15" t="n">
        <x:v>125</x:v>
      </x:c>
      <x:c r="Y113" s="15" t="n">
        <x:v>2500</x:v>
      </x:c>
      <x:c r="Z113" s="15" t="n">
        <x:v>108.75</x:v>
      </x:c>
      <x:c r="AA113" s="28" t="n">
        <x:v>2391.25</x:v>
      </x:c>
      <x:c r="AB113" s="15" t="n">
        <x:v>29</x:v>
      </x:c>
      <x:c r="AC113" s="28" t="n">
        <x:v>649.6</x:v>
      </x:c>
      <x:c r="AD113" s="28" t="n">
        <x:v>1741.65</x:v>
      </x:c>
      <x:c r="AE113" s="15" t="str">
        <x:v>FALTA_STOCK</x:v>
      </x:c>
      <x:c r="AF113" s="15" t="str">
        <x:v>true</x:v>
      </x:c>
    </x:row>
    <x:row r="114">
      <x:c r="A114" s="15" t="str">
        <x:v>SYN-113</x:v>
      </x:c>
      <x:c r="B114" s="15" t="str">
        <x:v>Toldos</x:v>
      </x:c>
      <x:c r="C114" s="15" t="n">
        <x:v>7.64</x:v>
      </x:c>
      <x:c r="D114" s="15" t="n">
        <x:v>0</x:v>
      </x:c>
      <x:c r="E114" s="15" t="n">
        <x:v>0</x:v>
      </x:c>
      <x:c r="F114" s="15" t="n">
        <x:v>7</x:v>
      </x:c>
      <x:c r="G114" s="15" t="n">
        <x:v>10</x:v>
      </x:c>
      <x:c r="H114" s="15" t="n">
        <x:v>10</x:v>
      </x:c>
      <x:c r="I114" s="15" t="str">
        <x:v>CONCRETADA</x:v>
      </x:c>
      <x:c r="J114" s="15" t="n">
        <x:v>1</x:v>
      </x:c>
      <x:c r="K114" s="15" t="str">
        <x:v>true</x:v>
      </x:c>
      <x:c r="L114" s="15" t="n">
        <x:v>4635.33</x:v>
      </x:c>
      <x:c r="M114" s="15" t="n">
        <x:v>3</x:v>
      </x:c>
      <x:c r="N114" s="15" t="n">
        <x:v>2</x:v>
      </x:c>
      <x:c r="O114" s="15" t="str">
        <x:v>NO_APLICA</x:v>
      </x:c>
      <x:c r="P114" s="15" t="str">
        <x:v>Lona orillo azul DEMO</x:v>
      </x:c>
      <x:c r="Q114" s="15" t="str">
        <x:v>ESTANDAR</x:v>
      </x:c>
      <x:c r="R114" s="15" t="str">
        <x:v>m² simulado</x:v>
      </x:c>
      <x:c r="S114" s="15" t="n">
        <x:v>1.1</x:v>
      </x:c>
      <x:c r="T114" s="15" t="n">
        <x:v>6.6</x:v>
      </x:c>
      <x:c r="U114" s="15" t="n">
        <x:v>22</x:v>
      </x:c>
      <x:c r="V114" s="15" t="n">
        <x:v>0</x:v>
      </x:c>
      <x:c r="W114" s="15" t="str">
        <x:v>SUFICIENTE_EN_ESCENARIO</x:v>
      </x:c>
      <x:c r="X114" s="15" t="n">
        <x:v>120</x:v>
      </x:c>
      <x:c r="Y114" s="15" t="n">
        <x:v>720</x:v>
      </x:c>
      <x:c r="Z114" s="15" t="n">
        <x:v>55.01</x:v>
      </x:c>
      <x:c r="AA114" s="28" t="n">
        <x:v>664.99</x:v>
      </x:c>
      <x:c r="AB114" s="15" t="n">
        <x:v>25</x:v>
      </x:c>
      <x:c r="AC114" s="28" t="n">
        <x:v>165</x:v>
      </x:c>
      <x:c r="AD114" s="28" t="n">
        <x:v>499.99</x:v>
      </x:c>
      <x:c r="AE114" s="15" t="str">
        <x:v>REVISAR_DATOS</x:v>
      </x:c>
      <x:c r="AF114" s="15" t="str">
        <x:v>true</x:v>
      </x:c>
    </x:row>
    <x:row r="115">
      <x:c r="A115" s="15" t="str">
        <x:v>SYN-114</x:v>
      </x:c>
      <x:c r="B115" s="15" t="str">
        <x:v>Tapizado de moto</x:v>
      </x:c>
      <x:c r="C115" s="15" t="n">
        <x:v>14.24</x:v>
      </x:c>
      <x:c r="D115" s="15" t="n">
        <x:v>0</x:v>
      </x:c>
      <x:c r="E115" s="15" t="n">
        <x:v>0</x:v>
      </x:c>
      <x:c r="F115" s="15" t="n">
        <x:v>69</x:v>
      </x:c>
      <x:c r="G115" s="15" t="n">
        <x:v>39</x:v>
      </x:c>
      <x:c r="H115" s="15" t="n">
        <x:v>16</x:v>
      </x:c>
      <x:c r="I115" s="15" t="str">
        <x:v>NO_CONCRETADA</x:v>
      </x:c>
      <x:c r="J115" s="15" t="n">
        <x:v>0</x:v>
      </x:c>
      <x:c r="K115" s="15" t="str">
        <x:v>true</x:v>
      </x:c>
      <x:c r="L115" s="15" t="n">
        <x:v>5829.88</x:v>
      </x:c>
      <x:c r="M115" s="15" t="n">
        <x:v>2</x:v>
      </x:c>
      <x:c r="N115" s="15" t="n">
        <x:v>2</x:v>
      </x:c>
      <x:c r="O115" s="15" t="str">
        <x:v>NO_APLICA</x:v>
      </x:c>
      <x:c r="P115" s="15" t="str">
        <x:v>Oxford DEMO</x:v>
      </x:c>
      <x:c r="Q115" s="15" t="str">
        <x:v>NO_APLICA</x:v>
      </x:c>
      <x:c r="R115" s="15" t="str">
        <x:v>m² equivalente DEMO</x:v>
      </x:c>
      <x:c r="S115" s="15" t="n">
        <x:v>0.55</x:v>
      </x:c>
      <x:c r="T115" s="15" t="n">
        <x:v>2.2</x:v>
      </x:c>
      <x:c r="U115" s="15" t="n">
        <x:v>9</x:v>
      </x:c>
      <x:c r="V115" s="15" t="n">
        <x:v>0</x:v>
      </x:c>
      <x:c r="W115" s="15" t="str">
        <x:v>SUFICIENTE_EN_ESCENARIO</x:v>
      </x:c>
      <x:c r="X115" s="15" t="n">
        <x:v>155</x:v>
      </x:c>
      <x:c r="Y115" s="15" t="n">
        <x:v>620</x:v>
      </x:c>
      <x:c r="Z115" s="15" t="n">
        <x:v>88.29</x:v>
      </x:c>
      <x:c r="AA115" s="28" t="n">
        <x:v>531.71</x:v>
      </x:c>
      <x:c r="AB115" s="15" t="n">
        <x:v>38</x:v>
      </x:c>
      <x:c r="AC115" s="28" t="n">
        <x:v>83.6</x:v>
      </x:c>
      <x:c r="AD115" s="28" t="n">
        <x:v>448.11</x:v>
      </x:c>
      <x:c r="AE115" s="15" t="str">
        <x:v>REVISAR_DATOS</x:v>
      </x:c>
      <x:c r="AF115" s="15" t="str">
        <x:v>true</x:v>
      </x:c>
    </x:row>
    <x:row r="116">
      <x:c r="A116" s="15" t="str">
        <x:v>SYN-115</x:v>
      </x:c>
      <x:c r="B116" s="15" t="str">
        <x:v>Carpas</x:v>
      </x:c>
      <x:c r="C116" s="15" t="n">
        <x:v>17.54</x:v>
      </x:c>
      <x:c r="D116" s="15" t="n">
        <x:v>0</x:v>
      </x:c>
      <x:c r="E116" s="15" t="n">
        <x:v>0</x:v>
      </x:c>
      <x:c r="F116" s="15" t="n">
        <x:v>39</x:v>
      </x:c>
      <x:c r="G116" s="15" t="n">
        <x:v>51</x:v>
      </x:c>
      <x:c r="H116" s="15" t="n">
        <x:v>11</x:v>
      </x:c>
      <x:c r="I116" s="15" t="str">
        <x:v>NO_CONCRETADA</x:v>
      </x:c>
      <x:c r="J116" s="15" t="n">
        <x:v>0</x:v>
      </x:c>
      <x:c r="K116" s="15" t="str">
        <x:v>true</x:v>
      </x:c>
      <x:c r="L116" s="15" t="n">
        <x:v>4239.19</x:v>
      </x:c>
      <x:c r="M116" s="15" t="n">
        <x:v>6</x:v>
      </x:c>
      <x:c r="N116" s="15" t="n">
        <x:v>4</x:v>
      </x:c>
      <x:c r="O116" s="15" t="str">
        <x:v>ABIERTA</x:v>
      </x:c>
      <x:c r="P116" s="15" t="str">
        <x:v>Lino liviano DEMO</x:v>
      </x:c>
      <x:c r="Q116" s="15" t="str">
        <x:v>LIVIANO</x:v>
      </x:c>
      <x:c r="R116" s="15" t="str">
        <x:v>m² simulado</x:v>
      </x:c>
      <x:c r="S116" s="15" t="n">
        <x:v>1.12</x:v>
      </x:c>
      <x:c r="T116" s="15" t="n">
        <x:v>26.88</x:v>
      </x:c>
      <x:c r="U116" s="15" t="n">
        <x:v>28</x:v>
      </x:c>
      <x:c r="V116" s="15" t="n">
        <x:v>0</x:v>
      </x:c>
      <x:c r="W116" s="15" t="str">
        <x:v>SUFICIENTE_EN_ESCENARIO</x:v>
      </x:c>
      <x:c r="X116" s="15" t="n">
        <x:v>108</x:v>
      </x:c>
      <x:c r="Y116" s="15" t="n">
        <x:v>2592</x:v>
      </x:c>
      <x:c r="Z116" s="15" t="n">
        <x:v>454.64</x:v>
      </x:c>
      <x:c r="AA116" s="28" t="n">
        <x:v>2137.36</x:v>
      </x:c>
      <x:c r="AB116" s="15" t="n">
        <x:v>22</x:v>
      </x:c>
      <x:c r="AC116" s="28" t="n">
        <x:v>591.36</x:v>
      </x:c>
      <x:c r="AD116" s="28" t="n">
        <x:v>1546</x:v>
      </x:c>
      <x:c r="AE116" s="15" t="str">
        <x:v>REVISAR_DATOS</x:v>
      </x:c>
      <x:c r="AF116" s="15" t="str">
        <x:v>true</x:v>
      </x:c>
    </x:row>
    <x:row r="117">
      <x:c r="A117" s="15" t="str">
        <x:v>SYN-116</x:v>
      </x:c>
      <x:c r="B117" s="15" t="str">
        <x:v>Toldos</x:v>
      </x:c>
      <x:c r="C117" s="15" t="n">
        <x:v>5.11</x:v>
      </x:c>
      <x:c r="D117" s="15" t="n">
        <x:v>1</x:v>
      </x:c>
      <x:c r="E117" s="15" t="n">
        <x:v>0</x:v>
      </x:c>
      <x:c r="F117" s="15" t="n">
        <x:v>15</x:v>
      </x:c>
      <x:c r="G117" s="15" t="n">
        <x:v>1</x:v>
      </x:c>
      <x:c r="H117" s="15" t="n">
        <x:v>4</x:v>
      </x:c>
      <x:c r="I117" s="15" t="str">
        <x:v>NO_CONCRETADA</x:v>
      </x:c>
      <x:c r="J117" s="15" t="n">
        <x:v>0</x:v>
      </x:c>
      <x:c r="K117" s="15" t="str">
        <x:v>true</x:v>
      </x:c>
      <x:c r="L117" s="15" t="n">
        <x:v>3734.91</x:v>
      </x:c>
      <x:c r="M117" s="15" t="n">
        <x:v>6</x:v>
      </x:c>
      <x:c r="N117" s="15" t="n">
        <x:v>4</x:v>
      </x:c>
      <x:c r="O117" s="15" t="str">
        <x:v>NO_APLICA</x:v>
      </x:c>
      <x:c r="P117" s="15" t="str">
        <x:v>Lona orillo azul DEMO</x:v>
      </x:c>
      <x:c r="Q117" s="15" t="str">
        <x:v>ESTANDAR</x:v>
      </x:c>
      <x:c r="R117" s="15" t="str">
        <x:v>m² simulado</x:v>
      </x:c>
      <x:c r="S117" s="15" t="n">
        <x:v>1.1</x:v>
      </x:c>
      <x:c r="T117" s="15" t="n">
        <x:v>26.4</x:v>
      </x:c>
      <x:c r="U117" s="15" t="n">
        <x:v>22</x:v>
      </x:c>
      <x:c r="V117" s="15" t="n">
        <x:v>4.4</x:v>
      </x:c>
      <x:c r="W117" s="15" t="str">
        <x:v>FALTANTE_EN_ESCENARIO</x:v>
      </x:c>
      <x:c r="X117" s="15" t="n">
        <x:v>120</x:v>
      </x:c>
      <x:c r="Y117" s="15" t="n">
        <x:v>2880</x:v>
      </x:c>
      <x:c r="Z117" s="15" t="n">
        <x:v>147.17</x:v>
      </x:c>
      <x:c r="AA117" s="28" t="n">
        <x:v>2732.83</x:v>
      </x:c>
      <x:c r="AB117" s="15" t="n">
        <x:v>25</x:v>
      </x:c>
      <x:c r="AC117" s="28" t="n">
        <x:v>660</x:v>
      </x:c>
      <x:c r="AD117" s="28" t="n">
        <x:v>2072.83</x:v>
      </x:c>
      <x:c r="AE117" s="15" t="str">
        <x:v>FALTA_STOCK</x:v>
      </x:c>
      <x:c r="AF117" s="15" t="str">
        <x:v>true</x:v>
      </x:c>
    </x:row>
    <x:row r="118">
      <x:c r="A118" s="15" t="str">
        <x:v>SYN-117</x:v>
      </x:c>
      <x:c r="B118" s="15" t="str">
        <x:v>Tapizado de moto</x:v>
      </x:c>
      <x:c r="C118" s="15" t="n">
        <x:v>11.67</x:v>
      </x:c>
      <x:c r="D118" s="15" t="n">
        <x:v>1</x:v>
      </x:c>
      <x:c r="E118" s="15" t="n">
        <x:v>0</x:v>
      </x:c>
      <x:c r="F118" s="15" t="n">
        <x:v>24</x:v>
      </x:c>
      <x:c r="G118" s="15" t="n">
        <x:v>85</x:v>
      </x:c>
      <x:c r="H118" s="15" t="n">
        <x:v>13</x:v>
      </x:c>
      <x:c r="I118" s="15" t="str">
        <x:v>CONCRETADA</x:v>
      </x:c>
      <x:c r="J118" s="15" t="n">
        <x:v>1</x:v>
      </x:c>
      <x:c r="K118" s="15" t="str">
        <x:v>true</x:v>
      </x:c>
      <x:c r="L118" s="15" t="n">
        <x:v>6926.57</x:v>
      </x:c>
      <x:c r="M118" s="15" t="n">
        <x:v>6</x:v>
      </x:c>
      <x:c r="N118" s="15" t="n">
        <x:v>4</x:v>
      </x:c>
      <x:c r="O118" s="15" t="str">
        <x:v>NO_APLICA</x:v>
      </x:c>
      <x:c r="P118" s="15" t="str">
        <x:v>Oxford DEMO</x:v>
      </x:c>
      <x:c r="Q118" s="15" t="str">
        <x:v>NO_APLICA</x:v>
      </x:c>
      <x:c r="R118" s="15" t="str">
        <x:v>m² equivalente DEMO</x:v>
      </x:c>
      <x:c r="S118" s="15" t="n">
        <x:v>0.55</x:v>
      </x:c>
      <x:c r="T118" s="15" t="n">
        <x:v>13.2</x:v>
      </x:c>
      <x:c r="U118" s="15" t="n">
        <x:v>9</x:v>
      </x:c>
      <x:c r="V118" s="15" t="n">
        <x:v>4.2</x:v>
      </x:c>
      <x:c r="W118" s="15" t="str">
        <x:v>FALTANTE_EN_ESCENARIO</x:v>
      </x:c>
      <x:c r="X118" s="15" t="n">
        <x:v>155</x:v>
      </x:c>
      <x:c r="Y118" s="15" t="n">
        <x:v>3720</x:v>
      </x:c>
      <x:c r="Z118" s="15" t="n">
        <x:v>434.12</x:v>
      </x:c>
      <x:c r="AA118" s="28" t="n">
        <x:v>3285.88</x:v>
      </x:c>
      <x:c r="AB118" s="15" t="n">
        <x:v>38</x:v>
      </x:c>
      <x:c r="AC118" s="28" t="n">
        <x:v>501.6</x:v>
      </x:c>
      <x:c r="AD118" s="28" t="n">
        <x:v>2784.28</x:v>
      </x:c>
      <x:c r="AE118" s="15" t="str">
        <x:v>FALTA_STOCK</x:v>
      </x:c>
      <x:c r="AF118" s="15" t="str">
        <x:v>true</x:v>
      </x:c>
    </x:row>
    <x:row r="119">
      <x:c r="A119" s="15" t="str">
        <x:v>SYN-118</x:v>
      </x:c>
      <x:c r="B119" s="15" t="str">
        <x:v>Carpas</x:v>
      </x:c>
      <x:c r="C119" s="15" t="n">
        <x:v>18.2</x:v>
      </x:c>
      <x:c r="D119" s="15" t="n">
        <x:v>1</x:v>
      </x:c>
      <x:c r="E119" s="15" t="n">
        <x:v>1</x:v>
      </x:c>
      <x:c r="F119" s="15" t="n">
        <x:v>38</x:v>
      </x:c>
      <x:c r="G119" s="15" t="n">
        <x:v>65</x:v>
      </x:c>
      <x:c r="H119" s="15" t="n">
        <x:v>16</x:v>
      </x:c>
      <x:c r="I119" s="15" t="str">
        <x:v>NO_CONCRETADA</x:v>
      </x:c>
      <x:c r="J119" s="15" t="n">
        <x:v>0</x:v>
      </x:c>
      <x:c r="K119" s="15" t="str">
        <x:v>true</x:v>
      </x:c>
      <x:c r="L119" s="15" t="n">
        <x:v>1522.2</x:v>
      </x:c>
      <x:c r="M119" s="15" t="n">
        <x:v>5</x:v>
      </x:c>
      <x:c r="N119" s="15" t="n">
        <x:v>4</x:v>
      </x:c>
      <x:c r="O119" s="15" t="str">
        <x:v>CERRADA</x:v>
      </x:c>
      <x:c r="P119" s="15" t="str">
        <x:v>Lino económico DEMO</x:v>
      </x:c>
      <x:c r="Q119" s="15" t="str">
        <x:v>ECONOMICO</x:v>
      </x:c>
      <x:c r="R119" s="15" t="str">
        <x:v>m² simulado</x:v>
      </x:c>
      <x:c r="S119" s="15" t="n">
        <x:v>1.55</x:v>
      </x:c>
      <x:c r="T119" s="15" t="n">
        <x:v>31</x:v>
      </x:c>
      <x:c r="U119" s="15" t="n">
        <x:v>32</x:v>
      </x:c>
      <x:c r="V119" s="15" t="n">
        <x:v>0</x:v>
      </x:c>
      <x:c r="W119" s="15" t="str">
        <x:v>SUFICIENTE_EN_ESCENARIO</x:v>
      </x:c>
      <x:c r="X119" s="15" t="n">
        <x:v>95</x:v>
      </x:c>
      <x:c r="Y119" s="15" t="n">
        <x:v>2565</x:v>
      </x:c>
      <x:c r="Z119" s="15" t="n">
        <x:v>466.83</x:v>
      </x:c>
      <x:c r="AA119" s="28" t="n">
        <x:v>2098.17</x:v>
      </x:c>
      <x:c r="AB119" s="15" t="n">
        <x:v>18</x:v>
      </x:c>
      <x:c r="AC119" s="28" t="n">
        <x:v>558</x:v>
      </x:c>
      <x:c r="AD119" s="28" t="n">
        <x:v>1540.17</x:v>
      </x:c>
      <x:c r="AE119" s="15" t="str">
        <x:v>FACTIBLE_CON_REGLAS_SINTETICAS</x:v>
      </x:c>
      <x:c r="AF119" s="15" t="str">
        <x:v>true</x:v>
      </x:c>
    </x:row>
    <x:row r="120">
      <x:c r="A120" s="15" t="str">
        <x:v>SYN-119</x:v>
      </x:c>
      <x:c r="B120" s="15" t="str">
        <x:v>Toldos</x:v>
      </x:c>
      <x:c r="C120" s="15" t="n">
        <x:v>10.83</x:v>
      </x:c>
      <x:c r="D120" s="15" t="n">
        <x:v>1</x:v>
      </x:c>
      <x:c r="E120" s="15" t="n">
        <x:v>1</x:v>
      </x:c>
      <x:c r="F120" s="15" t="n">
        <x:v>75</x:v>
      </x:c>
      <x:c r="G120" s="15" t="n">
        <x:v>51</x:v>
      </x:c>
      <x:c r="H120" s="15" t="n">
        <x:v>20</x:v>
      </x:c>
      <x:c r="I120" s="15" t="str">
        <x:v>NO_CONCRETADA</x:v>
      </x:c>
      <x:c r="J120" s="15" t="n">
        <x:v>0</x:v>
      </x:c>
      <x:c r="K120" s="15" t="str">
        <x:v>true</x:v>
      </x:c>
      <x:c r="L120" s="15" t="n">
        <x:v>1051.55</x:v>
      </x:c>
      <x:c r="M120" s="15" t="n">
        <x:v>3</x:v>
      </x:c>
      <x:c r="N120" s="15" t="n">
        <x:v>2</x:v>
      </x:c>
      <x:c r="O120" s="15" t="str">
        <x:v>NO_APLICA</x:v>
      </x:c>
      <x:c r="P120" s="15" t="str">
        <x:v>Lona orillo azul DEMO</x:v>
      </x:c>
      <x:c r="Q120" s="15" t="str">
        <x:v>ESTANDAR</x:v>
      </x:c>
      <x:c r="R120" s="15" t="str">
        <x:v>m² simulado</x:v>
      </x:c>
      <x:c r="S120" s="15" t="n">
        <x:v>1.1</x:v>
      </x:c>
      <x:c r="T120" s="15" t="n">
        <x:v>6.6</x:v>
      </x:c>
      <x:c r="U120" s="15" t="n">
        <x:v>22</x:v>
      </x:c>
      <x:c r="V120" s="15" t="n">
        <x:v>0</x:v>
      </x:c>
      <x:c r="W120" s="15" t="str">
        <x:v>SUFICIENTE_EN_ESCENARIO</x:v>
      </x:c>
      <x:c r="X120" s="15" t="n">
        <x:v>120</x:v>
      </x:c>
      <x:c r="Y120" s="15" t="n">
        <x:v>720</x:v>
      </x:c>
      <x:c r="Z120" s="15" t="n">
        <x:v>77.98</x:v>
      </x:c>
      <x:c r="AA120" s="28" t="n">
        <x:v>642.02</x:v>
      </x:c>
      <x:c r="AB120" s="15" t="n">
        <x:v>25</x:v>
      </x:c>
      <x:c r="AC120" s="28" t="n">
        <x:v>165</x:v>
      </x:c>
      <x:c r="AD120" s="28" t="n">
        <x:v>477.02</x:v>
      </x:c>
      <x:c r="AE120" s="15" t="str">
        <x:v>FACTIBLE_CON_REGLAS_SINTETICAS</x:v>
      </x:c>
      <x:c r="AF120" s="15" t="str">
        <x:v>true</x:v>
      </x:c>
    </x:row>
    <x:row r="121">
      <x:c r="A121" s="15" t="str">
        <x:v>SYN-120</x:v>
      </x:c>
      <x:c r="B121" s="15" t="str">
        <x:v>Tapizado de moto</x:v>
      </x:c>
      <x:c r="C121" s="15" t="n">
        <x:v>17.96</x:v>
      </x:c>
      <x:c r="D121" s="15" t="n">
        <x:v>1</x:v>
      </x:c>
      <x:c r="E121" s="15" t="n">
        <x:v>1</x:v>
      </x:c>
      <x:c r="F121" s="15" t="n">
        <x:v>70</x:v>
      </x:c>
      <x:c r="G121" s="15" t="n">
        <x:v>23</x:v>
      </x:c>
      <x:c r="H121" s="15" t="n">
        <x:v>17</x:v>
      </x:c>
      <x:c r="I121" s="15" t="str">
        <x:v>NO_CONCRETADA</x:v>
      </x:c>
      <x:c r="J121" s="15" t="n">
        <x:v>0</x:v>
      </x:c>
      <x:c r="K121" s="15" t="str">
        <x:v>true</x:v>
      </x:c>
      <x:c r="L121" s="15" t="n">
        <x:v>6019.85</x:v>
      </x:c>
      <x:c r="M121" s="15" t="n">
        <x:v>2</x:v>
      </x:c>
      <x:c r="N121" s="15" t="n">
        <x:v>2</x:v>
      </x:c>
      <x:c r="O121" s="15" t="str">
        <x:v>NO_APLICA</x:v>
      </x:c>
      <x:c r="P121" s="15" t="str">
        <x:v>Oxford DEMO</x:v>
      </x:c>
      <x:c r="Q121" s="15" t="str">
        <x:v>NO_APLICA</x:v>
      </x:c>
      <x:c r="R121" s="15" t="str">
        <x:v>m² equivalente DEMO</x:v>
      </x:c>
      <x:c r="S121" s="15" t="n">
        <x:v>0.55</x:v>
      </x:c>
      <x:c r="T121" s="15" t="n">
        <x:v>2.2</x:v>
      </x:c>
      <x:c r="U121" s="15" t="n">
        <x:v>9</x:v>
      </x:c>
      <x:c r="V121" s="15" t="n">
        <x:v>0</x:v>
      </x:c>
      <x:c r="W121" s="15" t="str">
        <x:v>SUFICIENTE_EN_ESCENARIO</x:v>
      </x:c>
      <x:c r="X121" s="15" t="n">
        <x:v>155</x:v>
      </x:c>
      <x:c r="Y121" s="15" t="n">
        <x:v>620</x:v>
      </x:c>
      <x:c r="Z121" s="15" t="n">
        <x:v>111.35</x:v>
      </x:c>
      <x:c r="AA121" s="28" t="n">
        <x:v>508.65</x:v>
      </x:c>
      <x:c r="AB121" s="15" t="n">
        <x:v>38</x:v>
      </x:c>
      <x:c r="AC121" s="28" t="n">
        <x:v>83.6</x:v>
      </x:c>
      <x:c r="AD121" s="28" t="n">
        <x:v>425.05</x:v>
      </x:c>
      <x:c r="AE121" s="15" t="str">
        <x:v>FACTIBLE_CON_REGLAS_SINTETICAS</x:v>
      </x:c>
      <x:c r="AF121" s="15" t="str">
        <x:v>true</x:v>
      </x:c>
    </x:row>
    <x:row r="122">
      <x:c r="A122" s="15" t="str">
        <x:v>SYN-121</x:v>
      </x:c>
      <x:c r="B122" s="15" t="str">
        <x:v>Carpas</x:v>
      </x:c>
      <x:c r="C122" s="15" t="n">
        <x:v>11.81</x:v>
      </x:c>
      <x:c r="D122" s="15" t="n">
        <x:v>1</x:v>
      </x:c>
      <x:c r="E122" s="15" t="n">
        <x:v>1</x:v>
      </x:c>
      <x:c r="F122" s="15" t="n">
        <x:v>19</x:v>
      </x:c>
      <x:c r="G122" s="15" t="n">
        <x:v>54</x:v>
      </x:c>
      <x:c r="H122" s="15" t="n">
        <x:v>2</x:v>
      </x:c>
      <x:c r="I122" s="15" t="str">
        <x:v>CONCRETADA</x:v>
      </x:c>
      <x:c r="J122" s="15" t="n">
        <x:v>1</x:v>
      </x:c>
      <x:c r="K122" s="15" t="str">
        <x:v>true</x:v>
      </x:c>
      <x:c r="L122" s="15" t="n">
        <x:v>2495.66</x:v>
      </x:c>
      <x:c r="M122" s="15" t="n">
        <x:v>5</x:v>
      </x:c>
      <x:c r="N122" s="15" t="n">
        <x:v>4</x:v>
      </x:c>
      <x:c r="O122" s="15" t="str">
        <x:v>ABIERTA</x:v>
      </x:c>
      <x:c r="P122" s="15" t="str">
        <x:v>Lino pesado DEMO</x:v>
      </x:c>
      <x:c r="Q122" s="15" t="str">
        <x:v>PESADO</x:v>
      </x:c>
      <x:c r="R122" s="15" t="str">
        <x:v>m² simulado</x:v>
      </x:c>
      <x:c r="S122" s="15" t="n">
        <x:v>1.12</x:v>
      </x:c>
      <x:c r="T122" s="15" t="n">
        <x:v>22.4</x:v>
      </x:c>
      <x:c r="U122" s="15" t="n">
        <x:v>20</x:v>
      </x:c>
      <x:c r="V122" s="15" t="n">
        <x:v>2.4</x:v>
      </x:c>
      <x:c r="W122" s="15" t="str">
        <x:v>FALTANTE_EN_ESCENARIO</x:v>
      </x:c>
      <x:c r="X122" s="15" t="n">
        <x:v>125</x:v>
      </x:c>
      <x:c r="Y122" s="15" t="n">
        <x:v>2500</x:v>
      </x:c>
      <x:c r="Z122" s="15" t="n">
        <x:v>295.25</x:v>
      </x:c>
      <x:c r="AA122" s="28" t="n">
        <x:v>2204.75</x:v>
      </x:c>
      <x:c r="AB122" s="15" t="n">
        <x:v>29</x:v>
      </x:c>
      <x:c r="AC122" s="28" t="n">
        <x:v>649.6</x:v>
      </x:c>
      <x:c r="AD122" s="28" t="n">
        <x:v>1555.15</x:v>
      </x:c>
      <x:c r="AE122" s="15" t="str">
        <x:v>FALTA_STOCK</x:v>
      </x:c>
      <x:c r="AF122" s="15" t="str">
        <x:v>true</x:v>
      </x:c>
    </x:row>
    <x:row r="123">
      <x:c r="A123" s="15" t="str">
        <x:v>SYN-122</x:v>
      </x:c>
      <x:c r="B123" s="15" t="str">
        <x:v>Toldos</x:v>
      </x:c>
      <x:c r="C123" s="15" t="n">
        <x:v>3.18</x:v>
      </x:c>
      <x:c r="D123" s="15" t="n">
        <x:v>1</x:v>
      </x:c>
      <x:c r="E123" s="15" t="n">
        <x:v>1</x:v>
      </x:c>
      <x:c r="F123" s="15" t="n">
        <x:v>40</x:v>
      </x:c>
      <x:c r="G123" s="15" t="n">
        <x:v>54</x:v>
      </x:c>
      <x:c r="H123" s="15" t="n">
        <x:v>20</x:v>
      </x:c>
      <x:c r="I123" s="15" t="str">
        <x:v>CONCRETADA</x:v>
      </x:c>
      <x:c r="J123" s="15" t="n">
        <x:v>1</x:v>
      </x:c>
      <x:c r="K123" s="15" t="str">
        <x:v>true</x:v>
      </x:c>
      <x:c r="L123" s="15" t="n">
        <x:v>6574.37</x:v>
      </x:c>
      <x:c r="M123" s="15" t="n">
        <x:v>6</x:v>
      </x:c>
      <x:c r="N123" s="15" t="n">
        <x:v>4</x:v>
      </x:c>
      <x:c r="O123" s="15" t="str">
        <x:v>NO_APLICA</x:v>
      </x:c>
      <x:c r="P123" s="15" t="str">
        <x:v>Tarflex DEMO</x:v>
      </x:c>
      <x:c r="Q123" s="15" t="str">
        <x:v>ESTANDAR</x:v>
      </x:c>
      <x:c r="R123" s="15" t="str">
        <x:v>m² simulado</x:v>
      </x:c>
      <x:c r="S123" s="15" t="n">
        <x:v>1.1</x:v>
      </x:c>
      <x:c r="T123" s="15" t="n">
        <x:v>26.4</x:v>
      </x:c>
      <x:c r="U123" s="15" t="n">
        <x:v>24</x:v>
      </x:c>
      <x:c r="V123" s="15" t="n">
        <x:v>2.4</x:v>
      </x:c>
      <x:c r="W123" s="15" t="str">
        <x:v>FALTANTE_EN_ESCENARIO</x:v>
      </x:c>
      <x:c r="X123" s="15" t="n">
        <x:v>112</x:v>
      </x:c>
      <x:c r="Y123" s="15" t="n">
        <x:v>2688</x:v>
      </x:c>
      <x:c r="Z123" s="15" t="n">
        <x:v>85.48</x:v>
      </x:c>
      <x:c r="AA123" s="28" t="n">
        <x:v>2602.52</x:v>
      </x:c>
      <x:c r="AB123" s="15" t="n">
        <x:v>23</x:v>
      </x:c>
      <x:c r="AC123" s="28" t="n">
        <x:v>607.2</x:v>
      </x:c>
      <x:c r="AD123" s="28" t="n">
        <x:v>1995.32</x:v>
      </x:c>
      <x:c r="AE123" s="15" t="str">
        <x:v>FALTA_STOCK</x:v>
      </x:c>
      <x:c r="AF123" s="15" t="str">
        <x:v>true</x:v>
      </x:c>
    </x:row>
    <x:row r="124">
      <x:c r="A124" s="15" t="str">
        <x:v>SYN-123</x:v>
      </x:c>
      <x:c r="B124" s="15" t="str">
        <x:v>Tapizado de moto</x:v>
      </x:c>
      <x:c r="C124" s="15" t="n">
        <x:v>10.73</x:v>
      </x:c>
      <x:c r="D124" s="15" t="n">
        <x:v>1</x:v>
      </x:c>
      <x:c r="E124" s="15" t="n">
        <x:v>0</x:v>
      </x:c>
      <x:c r="F124" s="15" t="n">
        <x:v>22</x:v>
      </x:c>
      <x:c r="G124" s="15" t="n">
        <x:v>25</x:v>
      </x:c>
      <x:c r="H124" s="15" t="n">
        <x:v>7</x:v>
      </x:c>
      <x:c r="I124" s="15" t="str">
        <x:v>NO_CONCRETADA</x:v>
      </x:c>
      <x:c r="J124" s="15" t="n">
        <x:v>0</x:v>
      </x:c>
      <x:c r="K124" s="15" t="str">
        <x:v>true</x:v>
      </x:c>
      <x:c r="L124" s="15" t="n">
        <x:v>1120.01</x:v>
      </x:c>
      <x:c r="M124" s="15" t="n">
        <x:v>5</x:v>
      </x:c>
      <x:c r="N124" s="15" t="n">
        <x:v>4</x:v>
      </x:c>
      <x:c r="O124" s="15" t="str">
        <x:v>NO_APLICA</x:v>
      </x:c>
      <x:c r="P124" s="15" t="str">
        <x:v>Oxford DEMO</x:v>
      </x:c>
      <x:c r="Q124" s="15" t="str">
        <x:v>NO_APLICA</x:v>
      </x:c>
      <x:c r="R124" s="15" t="str">
        <x:v>m² equivalente DEMO</x:v>
      </x:c>
      <x:c r="S124" s="15" t="n">
        <x:v>0.55</x:v>
      </x:c>
      <x:c r="T124" s="15" t="n">
        <x:v>11</x:v>
      </x:c>
      <x:c r="U124" s="15" t="n">
        <x:v>9</x:v>
      </x:c>
      <x:c r="V124" s="15" t="n">
        <x:v>2</x:v>
      </x:c>
      <x:c r="W124" s="15" t="str">
        <x:v>FALTANTE_EN_ESCENARIO</x:v>
      </x:c>
      <x:c r="X124" s="15" t="n">
        <x:v>155</x:v>
      </x:c>
      <x:c r="Y124" s="15" t="n">
        <x:v>3100</x:v>
      </x:c>
      <x:c r="Z124" s="15" t="n">
        <x:v>332.63</x:v>
      </x:c>
      <x:c r="AA124" s="28" t="n">
        <x:v>2767.37</x:v>
      </x:c>
      <x:c r="AB124" s="15" t="n">
        <x:v>38</x:v>
      </x:c>
      <x:c r="AC124" s="28" t="n">
        <x:v>418</x:v>
      </x:c>
      <x:c r="AD124" s="28" t="n">
        <x:v>2349.37</x:v>
      </x:c>
      <x:c r="AE124" s="15" t="str">
        <x:v>FALTA_STOCK</x:v>
      </x:c>
      <x:c r="AF124" s="15" t="str">
        <x:v>true</x:v>
      </x:c>
    </x:row>
    <x:row r="125">
      <x:c r="A125" s="15" t="str">
        <x:v>SYN-124</x:v>
      </x:c>
      <x:c r="B125" s="15" t="str">
        <x:v>Carpas</x:v>
      </x:c>
      <x:c r="C125" s="15" t="n">
        <x:v>7.14</x:v>
      </x:c>
      <x:c r="D125" s="15" t="n">
        <x:v>0</x:v>
      </x:c>
      <x:c r="E125" s="15" t="n">
        <x:v>0</x:v>
      </x:c>
      <x:c r="F125" s="15" t="n">
        <x:v>13</x:v>
      </x:c>
      <x:c r="G125" s="15" t="n">
        <x:v>53</x:v>
      </x:c>
      <x:c r="H125" s="15" t="n">
        <x:v>3</x:v>
      </x:c>
      <x:c r="I125" s="15" t="str">
        <x:v>NO_CONCRETADA</x:v>
      </x:c>
      <x:c r="J125" s="15" t="n">
        <x:v>0</x:v>
      </x:c>
      <x:c r="K125" s="15" t="str">
        <x:v>true</x:v>
      </x:c>
      <x:c r="L125" s="15" t="n">
        <x:v>6724.36</x:v>
      </x:c>
      <x:c r="M125" s="15" t="n">
        <x:v>6</x:v>
      </x:c>
      <x:c r="N125" s="15" t="n">
        <x:v>4</x:v>
      </x:c>
      <x:c r="O125" s="15" t="str">
        <x:v>ABIERTA</x:v>
      </x:c>
      <x:c r="P125" s="15" t="str">
        <x:v>Lino liviano DEMO</x:v>
      </x:c>
      <x:c r="Q125" s="15" t="str">
        <x:v>LIVIANO</x:v>
      </x:c>
      <x:c r="R125" s="15" t="str">
        <x:v>m² simulado</x:v>
      </x:c>
      <x:c r="S125" s="15" t="n">
        <x:v>1.12</x:v>
      </x:c>
      <x:c r="T125" s="15" t="n">
        <x:v>26.88</x:v>
      </x:c>
      <x:c r="U125" s="15" t="n">
        <x:v>28</x:v>
      </x:c>
      <x:c r="V125" s="15" t="n">
        <x:v>0</x:v>
      </x:c>
      <x:c r="W125" s="15" t="str">
        <x:v>SUFICIENTE_EN_ESCENARIO</x:v>
      </x:c>
      <x:c r="X125" s="15" t="n">
        <x:v>108</x:v>
      </x:c>
      <x:c r="Y125" s="15" t="n">
        <x:v>2592</x:v>
      </x:c>
      <x:c r="Z125" s="15" t="n">
        <x:v>185.07</x:v>
      </x:c>
      <x:c r="AA125" s="28" t="n">
        <x:v>2406.93</x:v>
      </x:c>
      <x:c r="AB125" s="15" t="n">
        <x:v>22</x:v>
      </x:c>
      <x:c r="AC125" s="28" t="n">
        <x:v>591.36</x:v>
      </x:c>
      <x:c r="AD125" s="28" t="n">
        <x:v>1815.57</x:v>
      </x:c>
      <x:c r="AE125" s="15" t="str">
        <x:v>REVISAR_DATOS</x:v>
      </x:c>
      <x:c r="AF125" s="15" t="str">
        <x:v>true</x:v>
      </x:c>
    </x:row>
    <x:row r="126">
      <x:c r="A126" s="15" t="str">
        <x:v>SYN-125</x:v>
      </x:c>
      <x:c r="B126" s="15" t="str">
        <x:v>Toldos</x:v>
      </x:c>
      <x:c r="C126" s="15" t="n">
        <x:v>0.16</x:v>
      </x:c>
      <x:c r="D126" s="15" t="n">
        <x:v>1</x:v>
      </x:c>
      <x:c r="E126" s="15" t="n">
        <x:v>1</x:v>
      </x:c>
      <x:c r="F126" s="15" t="n">
        <x:v>43</x:v>
      </x:c>
      <x:c r="G126" s="15" t="n">
        <x:v>54</x:v>
      </x:c>
      <x:c r="H126" s="15" t="n">
        <x:v>18</x:v>
      </x:c>
      <x:c r="I126" s="15" t="str">
        <x:v>CONCRETADA</x:v>
      </x:c>
      <x:c r="J126" s="15" t="n">
        <x:v>1</x:v>
      </x:c>
      <x:c r="K126" s="15" t="str">
        <x:v>true</x:v>
      </x:c>
      <x:c r="L126" s="15" t="n">
        <x:v>4126.84</x:v>
      </x:c>
      <x:c r="M126" s="15" t="n">
        <x:v>5</x:v>
      </x:c>
      <x:c r="N126" s="15" t="n">
        <x:v>4</x:v>
      </x:c>
      <x:c r="O126" s="15" t="str">
        <x:v>NO_APLICA</x:v>
      </x:c>
      <x:c r="P126" s="15" t="str">
        <x:v>Lona orillo rojo DEMO</x:v>
      </x:c>
      <x:c r="Q126" s="15" t="str">
        <x:v>ESTANDAR</x:v>
      </x:c>
      <x:c r="R126" s="15" t="str">
        <x:v>m² simulado</x:v>
      </x:c>
      <x:c r="S126" s="15" t="n">
        <x:v>1.1</x:v>
      </x:c>
      <x:c r="T126" s="15" t="n">
        <x:v>22</x:v>
      </x:c>
      <x:c r="U126" s="15" t="n">
        <x:v>18</x:v>
      </x:c>
      <x:c r="V126" s="15" t="n">
        <x:v>4</x:v>
      </x:c>
      <x:c r="W126" s="15" t="str">
        <x:v>FALTANTE_EN_ESCENARIO</x:v>
      </x:c>
      <x:c r="X126" s="15" t="n">
        <x:v>122</x:v>
      </x:c>
      <x:c r="Y126" s="15" t="n">
        <x:v>2440</x:v>
      </x:c>
      <x:c r="Z126" s="15" t="n">
        <x:v>3.9</x:v>
      </x:c>
      <x:c r="AA126" s="28" t="n">
        <x:v>2436.1</x:v>
      </x:c>
      <x:c r="AB126" s="15" t="n">
        <x:v>26</x:v>
      </x:c>
      <x:c r="AC126" s="28" t="n">
        <x:v>572</x:v>
      </x:c>
      <x:c r="AD126" s="28" t="n">
        <x:v>1864.1</x:v>
      </x:c>
      <x:c r="AE126" s="15" t="str">
        <x:v>FALTA_STOCK</x:v>
      </x:c>
      <x:c r="AF126" s="15" t="str">
        <x:v>true</x:v>
      </x:c>
    </x:row>
    <x:row r="127">
      <x:c r="A127" s="15" t="str">
        <x:v>SYN-126</x:v>
      </x:c>
      <x:c r="B127" s="15" t="str">
        <x:v>Tapizado de moto</x:v>
      </x:c>
      <x:c r="C127" s="15" t="n">
        <x:v>15.78</x:v>
      </x:c>
      <x:c r="D127" s="15" t="n">
        <x:v>1</x:v>
      </x:c>
      <x:c r="E127" s="15" t="n">
        <x:v>1</x:v>
      </x:c>
      <x:c r="F127" s="15" t="n">
        <x:v>4</x:v>
      </x:c>
      <x:c r="G127" s="15" t="n">
        <x:v>33</x:v>
      </x:c>
      <x:c r="H127" s="15" t="n">
        <x:v>17</x:v>
      </x:c>
      <x:c r="I127" s="15" t="str">
        <x:v>NO_CONCRETADA</x:v>
      </x:c>
      <x:c r="J127" s="15" t="n">
        <x:v>0</x:v>
      </x:c>
      <x:c r="K127" s="15" t="str">
        <x:v>true</x:v>
      </x:c>
      <x:c r="L127" s="15" t="n">
        <x:v>1018.97</x:v>
      </x:c>
      <x:c r="M127" s="15" t="n">
        <x:v>3</x:v>
      </x:c>
      <x:c r="N127" s="15" t="n">
        <x:v>3</x:v>
      </x:c>
      <x:c r="O127" s="15" t="str">
        <x:v>NO_APLICA</x:v>
      </x:c>
      <x:c r="P127" s="15" t="str">
        <x:v>Oxford DEMO</x:v>
      </x:c>
      <x:c r="Q127" s="15" t="str">
        <x:v>NO_APLICA</x:v>
      </x:c>
      <x:c r="R127" s="15" t="str">
        <x:v>m² equivalente DEMO</x:v>
      </x:c>
      <x:c r="S127" s="15" t="n">
        <x:v>0.55</x:v>
      </x:c>
      <x:c r="T127" s="15" t="n">
        <x:v>4.95</x:v>
      </x:c>
      <x:c r="U127" s="15" t="n">
        <x:v>9</x:v>
      </x:c>
      <x:c r="V127" s="15" t="n">
        <x:v>0</x:v>
      </x:c>
      <x:c r="W127" s="15" t="str">
        <x:v>SUFICIENTE_EN_ESCENARIO</x:v>
      </x:c>
      <x:c r="X127" s="15" t="n">
        <x:v>155</x:v>
      </x:c>
      <x:c r="Y127" s="15" t="n">
        <x:v>1395</x:v>
      </x:c>
      <x:c r="Z127" s="15" t="n">
        <x:v>220.13</x:v>
      </x:c>
      <x:c r="AA127" s="28" t="n">
        <x:v>1174.87</x:v>
      </x:c>
      <x:c r="AB127" s="15" t="n">
        <x:v>38</x:v>
      </x:c>
      <x:c r="AC127" s="28" t="n">
        <x:v>188.1</x:v>
      </x:c>
      <x:c r="AD127" s="28" t="n">
        <x:v>986.77</x:v>
      </x:c>
      <x:c r="AE127" s="15" t="str">
        <x:v>FACTIBLE_CON_REGLAS_SINTETICAS</x:v>
      </x:c>
      <x:c r="AF127" s="15" t="str">
        <x:v>true</x:v>
      </x:c>
    </x:row>
    <x:row r="128">
      <x:c r="A128" s="15" t="str">
        <x:v>SYN-127</x:v>
      </x:c>
      <x:c r="B128" s="15" t="str">
        <x:v>Carpas</x:v>
      </x:c>
      <x:c r="C128" s="15" t="n">
        <x:v>5.05</x:v>
      </x:c>
      <x:c r="D128" s="15" t="n">
        <x:v>0</x:v>
      </x:c>
      <x:c r="E128" s="15" t="n">
        <x:v>0</x:v>
      </x:c>
      <x:c r="F128" s="15" t="n">
        <x:v>19</x:v>
      </x:c>
      <x:c r="G128" s="15" t="n">
        <x:v>79</x:v>
      </x:c>
      <x:c r="H128" s="15" t="n">
        <x:v>10</x:v>
      </x:c>
      <x:c r="I128" s="15" t="str">
        <x:v>CONCRETADA</x:v>
      </x:c>
      <x:c r="J128" s="15" t="n">
        <x:v>1</x:v>
      </x:c>
      <x:c r="K128" s="15" t="str">
        <x:v>true</x:v>
      </x:c>
      <x:c r="L128" s="15" t="n">
        <x:v>562.04</x:v>
      </x:c>
      <x:c r="M128" s="15" t="n">
        <x:v>5</x:v>
      </x:c>
      <x:c r="N128" s="15" t="n">
        <x:v>4</x:v>
      </x:c>
      <x:c r="O128" s="15" t="str">
        <x:v>CERRADA</x:v>
      </x:c>
      <x:c r="P128" s="15" t="str">
        <x:v>Lino pesado DEMO</x:v>
      </x:c>
      <x:c r="Q128" s="15" t="str">
        <x:v>PESADO</x:v>
      </x:c>
      <x:c r="R128" s="15" t="str">
        <x:v>m² simulado</x:v>
      </x:c>
      <x:c r="S128" s="15" t="n">
        <x:v>1.55</x:v>
      </x:c>
      <x:c r="T128" s="15" t="n">
        <x:v>31</x:v>
      </x:c>
      <x:c r="U128" s="15" t="n">
        <x:v>20</x:v>
      </x:c>
      <x:c r="V128" s="15" t="n">
        <x:v>11</x:v>
      </x:c>
      <x:c r="W128" s="15" t="str">
        <x:v>FALTANTE_EN_ESCENARIO</x:v>
      </x:c>
      <x:c r="X128" s="15" t="n">
        <x:v>125</x:v>
      </x:c>
      <x:c r="Y128" s="15" t="n">
        <x:v>3375</x:v>
      </x:c>
      <x:c r="Z128" s="15" t="n">
        <x:v>170.44</x:v>
      </x:c>
      <x:c r="AA128" s="28" t="n">
        <x:v>3204.56</x:v>
      </x:c>
      <x:c r="AB128" s="15" t="n">
        <x:v>29</x:v>
      </x:c>
      <x:c r="AC128" s="28" t="n">
        <x:v>899</x:v>
      </x:c>
      <x:c r="AD128" s="28" t="n">
        <x:v>2305.56</x:v>
      </x:c>
      <x:c r="AE128" s="15" t="str">
        <x:v>REVISAR_DATOS</x:v>
      </x:c>
      <x:c r="AF128" s="15" t="str">
        <x:v>true</x:v>
      </x:c>
    </x:row>
    <x:row r="129">
      <x:c r="A129" s="15" t="str">
        <x:v>SYN-128</x:v>
      </x:c>
      <x:c r="B129" s="15" t="str">
        <x:v>Toldos</x:v>
      </x:c>
      <x:c r="C129" s="15" t="n">
        <x:v>0.7</x:v>
      </x:c>
      <x:c r="D129" s="15" t="n">
        <x:v>1</x:v>
      </x:c>
      <x:c r="E129" s="15" t="n">
        <x:v>1</x:v>
      </x:c>
      <x:c r="F129" s="15" t="n">
        <x:v>48</x:v>
      </x:c>
      <x:c r="G129" s="15" t="n">
        <x:v>85</x:v>
      </x:c>
      <x:c r="H129" s="15" t="n">
        <x:v>20</x:v>
      </x:c>
      <x:c r="I129" s="15" t="str">
        <x:v>CONCRETADA</x:v>
      </x:c>
      <x:c r="J129" s="15" t="n">
        <x:v>1</x:v>
      </x:c>
      <x:c r="K129" s="15" t="str">
        <x:v>true</x:v>
      </x:c>
      <x:c r="L129" s="15" t="n">
        <x:v>1769.85</x:v>
      </x:c>
      <x:c r="M129" s="15" t="n">
        <x:v>5</x:v>
      </x:c>
      <x:c r="N129" s="15" t="n">
        <x:v>4</x:v>
      </x:c>
      <x:c r="O129" s="15" t="str">
        <x:v>NO_APLICA</x:v>
      </x:c>
      <x:c r="P129" s="15" t="str">
        <x:v>Lona orillo rojo DEMO</x:v>
      </x:c>
      <x:c r="Q129" s="15" t="str">
        <x:v>ESTANDAR</x:v>
      </x:c>
      <x:c r="R129" s="15" t="str">
        <x:v>m² simulado</x:v>
      </x:c>
      <x:c r="S129" s="15" t="n">
        <x:v>1.1</x:v>
      </x:c>
      <x:c r="T129" s="15" t="n">
        <x:v>22</x:v>
      </x:c>
      <x:c r="U129" s="15" t="n">
        <x:v>18</x:v>
      </x:c>
      <x:c r="V129" s="15" t="n">
        <x:v>4</x:v>
      </x:c>
      <x:c r="W129" s="15" t="str">
        <x:v>FALTANTE_EN_ESCENARIO</x:v>
      </x:c>
      <x:c r="X129" s="15" t="n">
        <x:v>122</x:v>
      </x:c>
      <x:c r="Y129" s="15" t="n">
        <x:v>2440</x:v>
      </x:c>
      <x:c r="Z129" s="15" t="n">
        <x:v>17.08</x:v>
      </x:c>
      <x:c r="AA129" s="28" t="n">
        <x:v>2422.92</x:v>
      </x:c>
      <x:c r="AB129" s="15" t="n">
        <x:v>26</x:v>
      </x:c>
      <x:c r="AC129" s="28" t="n">
        <x:v>572</x:v>
      </x:c>
      <x:c r="AD129" s="28" t="n">
        <x:v>1850.92</x:v>
      </x:c>
      <x:c r="AE129" s="15" t="str">
        <x:v>FALTA_STOCK</x:v>
      </x:c>
      <x:c r="AF129" s="15" t="str">
        <x:v>true</x:v>
      </x:c>
    </x:row>
    <x:row r="130">
      <x:c r="A130" s="15" t="str">
        <x:v>SYN-129</x:v>
      </x:c>
      <x:c r="B130" s="15" t="str">
        <x:v>Tapizado de moto</x:v>
      </x:c>
      <x:c r="C130" s="15" t="n">
        <x:v>6.81</x:v>
      </x:c>
      <x:c r="D130" s="15" t="n">
        <x:v>1</x:v>
      </x:c>
      <x:c r="E130" s="15" t="n">
        <x:v>0</x:v>
      </x:c>
      <x:c r="F130" s="15" t="n">
        <x:v>6</x:v>
      </x:c>
      <x:c r="G130" s="15" t="n">
        <x:v>36</x:v>
      </x:c>
      <x:c r="H130" s="15" t="n">
        <x:v>3</x:v>
      </x:c>
      <x:c r="I130" s="15" t="str">
        <x:v>CONCRETADA</x:v>
      </x:c>
      <x:c r="J130" s="15" t="n">
        <x:v>1</x:v>
      </x:c>
      <x:c r="K130" s="15" t="str">
        <x:v>true</x:v>
      </x:c>
      <x:c r="L130" s="15" t="n">
        <x:v>5673.95</x:v>
      </x:c>
      <x:c r="M130" s="15" t="n">
        <x:v>3</x:v>
      </x:c>
      <x:c r="N130" s="15" t="n">
        <x:v>2</x:v>
      </x:c>
      <x:c r="O130" s="15" t="str">
        <x:v>NO_APLICA</x:v>
      </x:c>
      <x:c r="P130" s="15" t="str">
        <x:v>Oxford DEMO</x:v>
      </x:c>
      <x:c r="Q130" s="15" t="str">
        <x:v>NO_APLICA</x:v>
      </x:c>
      <x:c r="R130" s="15" t="str">
        <x:v>m² equivalente DEMO</x:v>
      </x:c>
      <x:c r="S130" s="15" t="n">
        <x:v>0.55</x:v>
      </x:c>
      <x:c r="T130" s="15" t="n">
        <x:v>3.3</x:v>
      </x:c>
      <x:c r="U130" s="15" t="n">
        <x:v>9</x:v>
      </x:c>
      <x:c r="V130" s="15" t="n">
        <x:v>0</x:v>
      </x:c>
      <x:c r="W130" s="15" t="str">
        <x:v>SUFICIENTE_EN_ESCENARIO</x:v>
      </x:c>
      <x:c r="X130" s="15" t="n">
        <x:v>155</x:v>
      </x:c>
      <x:c r="Y130" s="15" t="n">
        <x:v>930</x:v>
      </x:c>
      <x:c r="Z130" s="15" t="n">
        <x:v>63.33</x:v>
      </x:c>
      <x:c r="AA130" s="28" t="n">
        <x:v>866.67</x:v>
      </x:c>
      <x:c r="AB130" s="15" t="n">
        <x:v>38</x:v>
      </x:c>
      <x:c r="AC130" s="28" t="n">
        <x:v>125.4</x:v>
      </x:c>
      <x:c r="AD130" s="28" t="n">
        <x:v>741.27</x:v>
      </x:c>
      <x:c r="AE130" s="15" t="str">
        <x:v>FACTIBLE_CON_REGLAS_SINTETICAS</x:v>
      </x:c>
      <x:c r="AF130" s="15" t="str">
        <x:v>true</x:v>
      </x:c>
    </x:row>
    <x:row r="131">
      <x:c r="A131" s="15" t="str">
        <x:v>SYN-130</x:v>
      </x:c>
      <x:c r="B131" s="15" t="str">
        <x:v>Carpas</x:v>
      </x:c>
      <x:c r="C131" s="15" t="n">
        <x:v>6.79</x:v>
      </x:c>
      <x:c r="D131" s="15" t="n">
        <x:v>1</x:v>
      </x:c>
      <x:c r="E131" s="15" t="n">
        <x:v>1</x:v>
      </x:c>
      <x:c r="F131" s="15" t="n">
        <x:v>9</x:v>
      </x:c>
      <x:c r="G131" s="15" t="n">
        <x:v>3</x:v>
      </x:c>
      <x:c r="H131" s="15" t="n">
        <x:v>11</x:v>
      </x:c>
      <x:c r="I131" s="15" t="str">
        <x:v>NO_CONCRETADA</x:v>
      </x:c>
      <x:c r="J131" s="15" t="n">
        <x:v>0</x:v>
      </x:c>
      <x:c r="K131" s="15" t="str">
        <x:v>true</x:v>
      </x:c>
      <x:c r="L131" s="15" t="n">
        <x:v>7232.96</x:v>
      </x:c>
      <x:c r="M131" s="15" t="n">
        <x:v>3</x:v>
      </x:c>
      <x:c r="N131" s="15" t="n">
        <x:v>2</x:v>
      </x:c>
      <x:c r="O131" s="15" t="str">
        <x:v>ABIERTA</x:v>
      </x:c>
      <x:c r="P131" s="15" t="str">
        <x:v>Lino liviano DEMO</x:v>
      </x:c>
      <x:c r="Q131" s="15" t="str">
        <x:v>LIVIANO</x:v>
      </x:c>
      <x:c r="R131" s="15" t="str">
        <x:v>m² simulado</x:v>
      </x:c>
      <x:c r="S131" s="15" t="n">
        <x:v>1.12</x:v>
      </x:c>
      <x:c r="T131" s="15" t="n">
        <x:v>6.72</x:v>
      </x:c>
      <x:c r="U131" s="15" t="n">
        <x:v>28</x:v>
      </x:c>
      <x:c r="V131" s="15" t="n">
        <x:v>0</x:v>
      </x:c>
      <x:c r="W131" s="15" t="str">
        <x:v>SUFICIENTE_EN_ESCENARIO</x:v>
      </x:c>
      <x:c r="X131" s="15" t="n">
        <x:v>108</x:v>
      </x:c>
      <x:c r="Y131" s="15" t="n">
        <x:v>648</x:v>
      </x:c>
      <x:c r="Z131" s="15" t="n">
        <x:v>44</x:v>
      </x:c>
      <x:c r="AA131" s="28" t="n">
        <x:v>604</x:v>
      </x:c>
      <x:c r="AB131" s="15" t="n">
        <x:v>22</x:v>
      </x:c>
      <x:c r="AC131" s="28" t="n">
        <x:v>147.84</x:v>
      </x:c>
      <x:c r="AD131" s="28" t="n">
        <x:v>456.16</x:v>
      </x:c>
      <x:c r="AE131" s="15" t="str">
        <x:v>FACTIBLE_CON_REGLAS_SINTETICAS</x:v>
      </x:c>
      <x:c r="AF131" s="15" t="str">
        <x:v>true</x:v>
      </x:c>
    </x:row>
    <x:row r="132">
      <x:c r="A132" s="15" t="str">
        <x:v>SYN-131</x:v>
      </x:c>
      <x:c r="B132" s="15" t="str">
        <x:v>Toldos</x:v>
      </x:c>
      <x:c r="C132" s="15" t="n">
        <x:v>8.98</x:v>
      </x:c>
      <x:c r="D132" s="15" t="n">
        <x:v>1</x:v>
      </x:c>
      <x:c r="E132" s="15" t="n">
        <x:v>1</x:v>
      </x:c>
      <x:c r="F132" s="15" t="n">
        <x:v>5</x:v>
      </x:c>
      <x:c r="G132" s="15" t="n">
        <x:v>31</x:v>
      </x:c>
      <x:c r="H132" s="15" t="n">
        <x:v>4</x:v>
      </x:c>
      <x:c r="I132" s="15" t="str">
        <x:v>CONCRETADA</x:v>
      </x:c>
      <x:c r="J132" s="15" t="n">
        <x:v>1</x:v>
      </x:c>
      <x:c r="K132" s="15" t="str">
        <x:v>true</x:v>
      </x:c>
      <x:c r="L132" s="15" t="n">
        <x:v>1283.76</x:v>
      </x:c>
      <x:c r="M132" s="15" t="n">
        <x:v>5</x:v>
      </x:c>
      <x:c r="N132" s="15" t="n">
        <x:v>4</x:v>
      </x:c>
      <x:c r="O132" s="15" t="str">
        <x:v>NO_APLICA</x:v>
      </x:c>
      <x:c r="P132" s="15" t="str">
        <x:v>Lona orillo rojo DEMO</x:v>
      </x:c>
      <x:c r="Q132" s="15" t="str">
        <x:v>ESTANDAR</x:v>
      </x:c>
      <x:c r="R132" s="15" t="str">
        <x:v>m² simulado</x:v>
      </x:c>
      <x:c r="S132" s="15" t="n">
        <x:v>1.1</x:v>
      </x:c>
      <x:c r="T132" s="15" t="n">
        <x:v>22</x:v>
      </x:c>
      <x:c r="U132" s="15" t="n">
        <x:v>18</x:v>
      </x:c>
      <x:c r="V132" s="15" t="n">
        <x:v>4</x:v>
      </x:c>
      <x:c r="W132" s="15" t="str">
        <x:v>FALTANTE_EN_ESCENARIO</x:v>
      </x:c>
      <x:c r="X132" s="15" t="n">
        <x:v>122</x:v>
      </x:c>
      <x:c r="Y132" s="15" t="n">
        <x:v>2440</x:v>
      </x:c>
      <x:c r="Z132" s="15" t="n">
        <x:v>219.11</x:v>
      </x:c>
      <x:c r="AA132" s="28" t="n">
        <x:v>2220.89</x:v>
      </x:c>
      <x:c r="AB132" s="15" t="n">
        <x:v>26</x:v>
      </x:c>
      <x:c r="AC132" s="28" t="n">
        <x:v>572</x:v>
      </x:c>
      <x:c r="AD132" s="28" t="n">
        <x:v>1648.89</x:v>
      </x:c>
      <x:c r="AE132" s="15" t="str">
        <x:v>FALTA_STOCK</x:v>
      </x:c>
      <x:c r="AF132" s="15" t="str">
        <x:v>true</x:v>
      </x:c>
    </x:row>
    <x:row r="133">
      <x:c r="A133" s="15" t="str">
        <x:v>SYN-132</x:v>
      </x:c>
      <x:c r="B133" s="15" t="str">
        <x:v>Tapizado de moto</x:v>
      </x:c>
      <x:c r="C133" s="15" t="n">
        <x:v>16.99</x:v>
      </x:c>
      <x:c r="D133" s="15" t="n">
        <x:v>1</x:v>
      </x:c>
      <x:c r="E133" s="15" t="n">
        <x:v>1</x:v>
      </x:c>
      <x:c r="F133" s="15" t="n">
        <x:v>48</x:v>
      </x:c>
      <x:c r="G133" s="15" t="n">
        <x:v>23</x:v>
      </x:c>
      <x:c r="H133" s="15" t="n">
        <x:v>20</x:v>
      </x:c>
      <x:c r="I133" s="15" t="str">
        <x:v>CONCRETADA</x:v>
      </x:c>
      <x:c r="J133" s="15" t="n">
        <x:v>1</x:v>
      </x:c>
      <x:c r="K133" s="15" t="str">
        <x:v>true</x:v>
      </x:c>
      <x:c r="L133" s="15" t="n">
        <x:v>955.9</x:v>
      </x:c>
      <x:c r="M133" s="15" t="n">
        <x:v>6</x:v>
      </x:c>
      <x:c r="N133" s="15" t="n">
        <x:v>4</x:v>
      </x:c>
      <x:c r="O133" s="15" t="str">
        <x:v>NO_APLICA</x:v>
      </x:c>
      <x:c r="P133" s="15" t="str">
        <x:v>Oxford DEMO</x:v>
      </x:c>
      <x:c r="Q133" s="15" t="str">
        <x:v>NO_APLICA</x:v>
      </x:c>
      <x:c r="R133" s="15" t="str">
        <x:v>m² equivalente DEMO</x:v>
      </x:c>
      <x:c r="S133" s="15" t="n">
        <x:v>0.55</x:v>
      </x:c>
      <x:c r="T133" s="15" t="n">
        <x:v>13.2</x:v>
      </x:c>
      <x:c r="U133" s="15" t="n">
        <x:v>9</x:v>
      </x:c>
      <x:c r="V133" s="15" t="n">
        <x:v>4.2</x:v>
      </x:c>
      <x:c r="W133" s="15" t="str">
        <x:v>FALTANTE_EN_ESCENARIO</x:v>
      </x:c>
      <x:c r="X133" s="15" t="n">
        <x:v>155</x:v>
      </x:c>
      <x:c r="Y133" s="15" t="n">
        <x:v>3720</x:v>
      </x:c>
      <x:c r="Z133" s="15" t="n">
        <x:v>632.03</x:v>
      </x:c>
      <x:c r="AA133" s="28" t="n">
        <x:v>3087.97</x:v>
      </x:c>
      <x:c r="AB133" s="15" t="n">
        <x:v>38</x:v>
      </x:c>
      <x:c r="AC133" s="28" t="n">
        <x:v>501.6</x:v>
      </x:c>
      <x:c r="AD133" s="28" t="n">
        <x:v>2586.37</x:v>
      </x:c>
      <x:c r="AE133" s="15" t="str">
        <x:v>FALTA_STOCK</x:v>
      </x:c>
      <x:c r="AF133" s="15" t="str">
        <x:v>true</x:v>
      </x:c>
    </x:row>
    <x:row r="134">
      <x:c r="A134" s="15" t="str">
        <x:v>SYN-133</x:v>
      </x:c>
      <x:c r="B134" s="15" t="str">
        <x:v>Carpas</x:v>
      </x:c>
      <x:c r="C134" s="15" t="n">
        <x:v>18.57</x:v>
      </x:c>
      <x:c r="D134" s="15" t="n">
        <x:v>0</x:v>
      </x:c>
      <x:c r="E134" s="15" t="n">
        <x:v>0</x:v>
      </x:c>
      <x:c r="F134" s="15" t="n">
        <x:v>21</x:v>
      </x:c>
      <x:c r="G134" s="15" t="n">
        <x:v>10</x:v>
      </x:c>
      <x:c r="H134" s="15" t="n">
        <x:v>8</x:v>
      </x:c>
      <x:c r="I134" s="15" t="str">
        <x:v>NO_CONCRETADA</x:v>
      </x:c>
      <x:c r="J134" s="15" t="n">
        <x:v>0</x:v>
      </x:c>
      <x:c r="K134" s="15" t="str">
        <x:v>true</x:v>
      </x:c>
      <x:c r="L134" s="15" t="n">
        <x:v>7482.2</x:v>
      </x:c>
      <x:c r="M134" s="15" t="n">
        <x:v>4</x:v>
      </x:c>
      <x:c r="N134" s="15" t="n">
        <x:v>3</x:v>
      </x:c>
      <x:c r="O134" s="15" t="str">
        <x:v>ABIERTA</x:v>
      </x:c>
      <x:c r="P134" s="15" t="str">
        <x:v>Lino pesado DEMO</x:v>
      </x:c>
      <x:c r="Q134" s="15" t="str">
        <x:v>PESADO</x:v>
      </x:c>
      <x:c r="R134" s="15" t="str">
        <x:v>m² simulado</x:v>
      </x:c>
      <x:c r="S134" s="15" t="n">
        <x:v>1.12</x:v>
      </x:c>
      <x:c r="T134" s="15" t="n">
        <x:v>13.44</x:v>
      </x:c>
      <x:c r="U134" s="15" t="n">
        <x:v>20</x:v>
      </x:c>
      <x:c r="V134" s="15" t="n">
        <x:v>0</x:v>
      </x:c>
      <x:c r="W134" s="15" t="str">
        <x:v>SUFICIENTE_EN_ESCENARIO</x:v>
      </x:c>
      <x:c r="X134" s="15" t="n">
        <x:v>125</x:v>
      </x:c>
      <x:c r="Y134" s="15" t="n">
        <x:v>1500</x:v>
      </x:c>
      <x:c r="Z134" s="15" t="n">
        <x:v>278.55</x:v>
      </x:c>
      <x:c r="AA134" s="28" t="n">
        <x:v>1221.45</x:v>
      </x:c>
      <x:c r="AB134" s="15" t="n">
        <x:v>29</x:v>
      </x:c>
      <x:c r="AC134" s="28" t="n">
        <x:v>389.76</x:v>
      </x:c>
      <x:c r="AD134" s="28" t="n">
        <x:v>831.69</x:v>
      </x:c>
      <x:c r="AE134" s="15" t="str">
        <x:v>REVISAR_DATOS</x:v>
      </x:c>
      <x:c r="AF134" s="15" t="str">
        <x:v>true</x:v>
      </x:c>
    </x:row>
    <x:row r="135">
      <x:c r="A135" s="15" t="str">
        <x:v>SYN-134</x:v>
      </x:c>
      <x:c r="B135" s="15" t="str">
        <x:v>Toldos</x:v>
      </x:c>
      <x:c r="C135" s="15" t="n">
        <x:v>15.04</x:v>
      </x:c>
      <x:c r="D135" s="15" t="n">
        <x:v>0</x:v>
      </x:c>
      <x:c r="E135" s="15" t="n">
        <x:v>0</x:v>
      </x:c>
      <x:c r="F135" s="15" t="n">
        <x:v>60</x:v>
      </x:c>
      <x:c r="G135" s="15" t="n">
        <x:v>52</x:v>
      </x:c>
      <x:c r="H135" s="15" t="n">
        <x:v>5</x:v>
      </x:c>
      <x:c r="I135" s="15" t="str">
        <x:v>NO_CONCRETADA</x:v>
      </x:c>
      <x:c r="J135" s="15" t="n">
        <x:v>0</x:v>
      </x:c>
      <x:c r="K135" s="15" t="str">
        <x:v>true</x:v>
      </x:c>
      <x:c r="L135" s="15" t="n">
        <x:v>3635.62</x:v>
      </x:c>
      <x:c r="M135" s="15" t="n">
        <x:v>6</x:v>
      </x:c>
      <x:c r="N135" s="15" t="n">
        <x:v>4</x:v>
      </x:c>
      <x:c r="O135" s="15" t="str">
        <x:v>NO_APLICA</x:v>
      </x:c>
      <x:c r="P135" s="15" t="str">
        <x:v>Lona orillo rojo DEMO</x:v>
      </x:c>
      <x:c r="Q135" s="15" t="str">
        <x:v>ESTANDAR</x:v>
      </x:c>
      <x:c r="R135" s="15" t="str">
        <x:v>m² simulado</x:v>
      </x:c>
      <x:c r="S135" s="15" t="n">
        <x:v>1.1</x:v>
      </x:c>
      <x:c r="T135" s="15" t="n">
        <x:v>26.4</x:v>
      </x:c>
      <x:c r="U135" s="15" t="n">
        <x:v>18</x:v>
      </x:c>
      <x:c r="V135" s="15" t="n">
        <x:v>8.4</x:v>
      </x:c>
      <x:c r="W135" s="15" t="str">
        <x:v>FALTANTE_EN_ESCENARIO</x:v>
      </x:c>
      <x:c r="X135" s="15" t="n">
        <x:v>122</x:v>
      </x:c>
      <x:c r="Y135" s="15" t="n">
        <x:v>2928</x:v>
      </x:c>
      <x:c r="Z135" s="15" t="n">
        <x:v>440.37</x:v>
      </x:c>
      <x:c r="AA135" s="28" t="n">
        <x:v>2487.63</x:v>
      </x:c>
      <x:c r="AB135" s="15" t="n">
        <x:v>26</x:v>
      </x:c>
      <x:c r="AC135" s="28" t="n">
        <x:v>686.4</x:v>
      </x:c>
      <x:c r="AD135" s="28" t="n">
        <x:v>1801.23</x:v>
      </x:c>
      <x:c r="AE135" s="15" t="str">
        <x:v>REVISAR_DATOS</x:v>
      </x:c>
      <x:c r="AF135" s="15" t="str">
        <x:v>true</x:v>
      </x:c>
    </x:row>
    <x:row r="136">
      <x:c r="A136" s="15" t="str">
        <x:v>SYN-135</x:v>
      </x:c>
      <x:c r="B136" s="15" t="str">
        <x:v>Tapizado de moto</x:v>
      </x:c>
      <x:c r="C136" s="15" t="n">
        <x:v>14.27</x:v>
      </x:c>
      <x:c r="D136" s="15" t="n">
        <x:v>1</x:v>
      </x:c>
      <x:c r="E136" s="15" t="n">
        <x:v>0</x:v>
      </x:c>
      <x:c r="F136" s="15" t="n">
        <x:v>30</x:v>
      </x:c>
      <x:c r="G136" s="15" t="n">
        <x:v>31</x:v>
      </x:c>
      <x:c r="H136" s="15" t="n">
        <x:v>14</x:v>
      </x:c>
      <x:c r="I136" s="15" t="str">
        <x:v>NO_CONCRETADA</x:v>
      </x:c>
      <x:c r="J136" s="15" t="n">
        <x:v>0</x:v>
      </x:c>
      <x:c r="K136" s="15" t="str">
        <x:v>true</x:v>
      </x:c>
      <x:c r="L136" s="15" t="n">
        <x:v>8434.39</x:v>
      </x:c>
      <x:c r="M136" s="15" t="n">
        <x:v>6</x:v>
      </x:c>
      <x:c r="N136" s="15" t="n">
        <x:v>4</x:v>
      </x:c>
      <x:c r="O136" s="15" t="str">
        <x:v>NO_APLICA</x:v>
      </x:c>
      <x:c r="P136" s="15" t="str">
        <x:v>Oxford DEMO</x:v>
      </x:c>
      <x:c r="Q136" s="15" t="str">
        <x:v>NO_APLICA</x:v>
      </x:c>
      <x:c r="R136" s="15" t="str">
        <x:v>m² equivalente DEMO</x:v>
      </x:c>
      <x:c r="S136" s="15" t="n">
        <x:v>0.55</x:v>
      </x:c>
      <x:c r="T136" s="15" t="n">
        <x:v>13.2</x:v>
      </x:c>
      <x:c r="U136" s="15" t="n">
        <x:v>9</x:v>
      </x:c>
      <x:c r="V136" s="15" t="n">
        <x:v>4.2</x:v>
      </x:c>
      <x:c r="W136" s="15" t="str">
        <x:v>FALTANTE_EN_ESCENARIO</x:v>
      </x:c>
      <x:c r="X136" s="15" t="n">
        <x:v>155</x:v>
      </x:c>
      <x:c r="Y136" s="15" t="n">
        <x:v>3720</x:v>
      </x:c>
      <x:c r="Z136" s="15" t="n">
        <x:v>530.84</x:v>
      </x:c>
      <x:c r="AA136" s="28" t="n">
        <x:v>3189.16</x:v>
      </x:c>
      <x:c r="AB136" s="15" t="n">
        <x:v>38</x:v>
      </x:c>
      <x:c r="AC136" s="28" t="n">
        <x:v>501.6</x:v>
      </x:c>
      <x:c r="AD136" s="28" t="n">
        <x:v>2687.56</x:v>
      </x:c>
      <x:c r="AE136" s="15" t="str">
        <x:v>FALTA_STOCK</x:v>
      </x:c>
      <x:c r="AF136" s="15" t="str">
        <x:v>true</x:v>
      </x:c>
    </x:row>
    <x:row r="137">
      <x:c r="A137" s="15" t="str">
        <x:v>SYN-136</x:v>
      </x:c>
      <x:c r="B137" s="15" t="str">
        <x:v>Carpas</x:v>
      </x:c>
      <x:c r="C137" s="15" t="n">
        <x:v>4.02</x:v>
      </x:c>
      <x:c r="D137" s="15" t="n">
        <x:v>1</x:v>
      </x:c>
      <x:c r="E137" s="15" t="n">
        <x:v>0</x:v>
      </x:c>
      <x:c r="F137" s="15" t="n">
        <x:v>70</x:v>
      </x:c>
      <x:c r="G137" s="15" t="n">
        <x:v>35</x:v>
      </x:c>
      <x:c r="H137" s="15" t="n">
        <x:v>1</x:v>
      </x:c>
      <x:c r="I137" s="15" t="str">
        <x:v>CONCRETADA</x:v>
      </x:c>
      <x:c r="J137" s="15" t="n">
        <x:v>1</x:v>
      </x:c>
      <x:c r="K137" s="15" t="str">
        <x:v>true</x:v>
      </x:c>
      <x:c r="L137" s="15" t="n">
        <x:v>5732.03</x:v>
      </x:c>
      <x:c r="M137" s="15" t="n">
        <x:v>3</x:v>
      </x:c>
      <x:c r="N137" s="15" t="n">
        <x:v>3</x:v>
      </x:c>
      <x:c r="O137" s="15" t="str">
        <x:v>ABIERTA</x:v>
      </x:c>
      <x:c r="P137" s="15" t="str">
        <x:v>Lino económico DEMO</x:v>
      </x:c>
      <x:c r="Q137" s="15" t="str">
        <x:v>ECONOMICO</x:v>
      </x:c>
      <x:c r="R137" s="15" t="str">
        <x:v>m² simulado</x:v>
      </x:c>
      <x:c r="S137" s="15" t="n">
        <x:v>1.12</x:v>
      </x:c>
      <x:c r="T137" s="15" t="n">
        <x:v>10.08</x:v>
      </x:c>
      <x:c r="U137" s="15" t="n">
        <x:v>32</x:v>
      </x:c>
      <x:c r="V137" s="15" t="n">
        <x:v>0</x:v>
      </x:c>
      <x:c r="W137" s="15" t="str">
        <x:v>SUFICIENTE_EN_ESCENARIO</x:v>
      </x:c>
      <x:c r="X137" s="15" t="n">
        <x:v>95</x:v>
      </x:c>
      <x:c r="Y137" s="15" t="n">
        <x:v>855</x:v>
      </x:c>
      <x:c r="Z137" s="15" t="n">
        <x:v>34.37</x:v>
      </x:c>
      <x:c r="AA137" s="28" t="n">
        <x:v>820.63</x:v>
      </x:c>
      <x:c r="AB137" s="15" t="n">
        <x:v>18</x:v>
      </x:c>
      <x:c r="AC137" s="28" t="n">
        <x:v>181.44</x:v>
      </x:c>
      <x:c r="AD137" s="28" t="n">
        <x:v>639.19</x:v>
      </x:c>
      <x:c r="AE137" s="15" t="str">
        <x:v>FACTIBLE_CON_REGLAS_SINTETICAS</x:v>
      </x:c>
      <x:c r="AF137" s="15" t="str">
        <x:v>true</x:v>
      </x:c>
    </x:row>
    <x:row r="138">
      <x:c r="A138" s="15" t="str">
        <x:v>SYN-137</x:v>
      </x:c>
      <x:c r="B138" s="15" t="str">
        <x:v>Toldos</x:v>
      </x:c>
      <x:c r="C138" s="15" t="n">
        <x:v>15.22</x:v>
      </x:c>
      <x:c r="D138" s="15" t="n">
        <x:v>1</x:v>
      </x:c>
      <x:c r="E138" s="15" t="n">
        <x:v>1</x:v>
      </x:c>
      <x:c r="F138" s="15" t="n">
        <x:v>33</x:v>
      </x:c>
      <x:c r="G138" s="15" t="n">
        <x:v>85</x:v>
      </x:c>
      <x:c r="H138" s="15" t="n">
        <x:v>13</x:v>
      </x:c>
      <x:c r="I138" s="15" t="str">
        <x:v>CONCRETADA</x:v>
      </x:c>
      <x:c r="J138" s="15" t="n">
        <x:v>1</x:v>
      </x:c>
      <x:c r="K138" s="15" t="str">
        <x:v>true</x:v>
      </x:c>
      <x:c r="L138" s="15" t="n">
        <x:v>4717</x:v>
      </x:c>
      <x:c r="M138" s="15" t="n">
        <x:v>2</x:v>
      </x:c>
      <x:c r="N138" s="15" t="n">
        <x:v>2</x:v>
      </x:c>
      <x:c r="O138" s="15" t="str">
        <x:v>NO_APLICA</x:v>
      </x:c>
      <x:c r="P138" s="15" t="str">
        <x:v>Tarflex DEMO</x:v>
      </x:c>
      <x:c r="Q138" s="15" t="str">
        <x:v>ESTANDAR</x:v>
      </x:c>
      <x:c r="R138" s="15" t="str">
        <x:v>m² simulado</x:v>
      </x:c>
      <x:c r="S138" s="15" t="n">
        <x:v>1.1</x:v>
      </x:c>
      <x:c r="T138" s="15" t="n">
        <x:v>4.4</x:v>
      </x:c>
      <x:c r="U138" s="15" t="n">
        <x:v>24</x:v>
      </x:c>
      <x:c r="V138" s="15" t="n">
        <x:v>0</x:v>
      </x:c>
      <x:c r="W138" s="15" t="str">
        <x:v>SUFICIENTE_EN_ESCENARIO</x:v>
      </x:c>
      <x:c r="X138" s="15" t="n">
        <x:v>112</x:v>
      </x:c>
      <x:c r="Y138" s="15" t="n">
        <x:v>448</x:v>
      </x:c>
      <x:c r="Z138" s="15" t="n">
        <x:v>68.19</x:v>
      </x:c>
      <x:c r="AA138" s="28" t="n">
        <x:v>379.81</x:v>
      </x:c>
      <x:c r="AB138" s="15" t="n">
        <x:v>23</x:v>
      </x:c>
      <x:c r="AC138" s="28" t="n">
        <x:v>101.2</x:v>
      </x:c>
      <x:c r="AD138" s="28" t="n">
        <x:v>278.61</x:v>
      </x:c>
      <x:c r="AE138" s="15" t="str">
        <x:v>FACTIBLE_CON_REGLAS_SINTETICAS</x:v>
      </x:c>
      <x:c r="AF138" s="15" t="str">
        <x:v>true</x:v>
      </x:c>
    </x:row>
    <x:row r="139">
      <x:c r="A139" s="15" t="str">
        <x:v>SYN-138</x:v>
      </x:c>
      <x:c r="B139" s="15" t="str">
        <x:v>Tapizado de moto</x:v>
      </x:c>
      <x:c r="C139" s="15" t="n">
        <x:v>14.67</x:v>
      </x:c>
      <x:c r="D139" s="15" t="n">
        <x:v>0</x:v>
      </x:c>
      <x:c r="E139" s="15" t="n">
        <x:v>0</x:v>
      </x:c>
      <x:c r="F139" s="15" t="n">
        <x:v>51</x:v>
      </x:c>
      <x:c r="G139" s="15" t="n">
        <x:v>75</x:v>
      </x:c>
      <x:c r="H139" s="15" t="n">
        <x:v>15</x:v>
      </x:c>
      <x:c r="I139" s="15" t="str">
        <x:v>CONCRETADA</x:v>
      </x:c>
      <x:c r="J139" s="15" t="n">
        <x:v>1</x:v>
      </x:c>
      <x:c r="K139" s="15" t="str">
        <x:v>true</x:v>
      </x:c>
      <x:c r="L139" s="15" t="n">
        <x:v>5293.44</x:v>
      </x:c>
      <x:c r="M139" s="15" t="n">
        <x:v>3</x:v>
      </x:c>
      <x:c r="N139" s="15" t="n">
        <x:v>2</x:v>
      </x:c>
      <x:c r="O139" s="15" t="str">
        <x:v>NO_APLICA</x:v>
      </x:c>
      <x:c r="P139" s="15" t="str">
        <x:v>Oxford DEMO</x:v>
      </x:c>
      <x:c r="Q139" s="15" t="str">
        <x:v>NO_APLICA</x:v>
      </x:c>
      <x:c r="R139" s="15" t="str">
        <x:v>m² equivalente DEMO</x:v>
      </x:c>
      <x:c r="S139" s="15" t="n">
        <x:v>0.55</x:v>
      </x:c>
      <x:c r="T139" s="15" t="n">
        <x:v>3.3</x:v>
      </x:c>
      <x:c r="U139" s="15" t="n">
        <x:v>9</x:v>
      </x:c>
      <x:c r="V139" s="15" t="n">
        <x:v>0</x:v>
      </x:c>
      <x:c r="W139" s="15" t="str">
        <x:v>SUFICIENTE_EN_ESCENARIO</x:v>
      </x:c>
      <x:c r="X139" s="15" t="n">
        <x:v>155</x:v>
      </x:c>
      <x:c r="Y139" s="15" t="n">
        <x:v>930</x:v>
      </x:c>
      <x:c r="Z139" s="15" t="n">
        <x:v>136.43</x:v>
      </x:c>
      <x:c r="AA139" s="28" t="n">
        <x:v>793.57</x:v>
      </x:c>
      <x:c r="AB139" s="15" t="n">
        <x:v>38</x:v>
      </x:c>
      <x:c r="AC139" s="28" t="n">
        <x:v>125.4</x:v>
      </x:c>
      <x:c r="AD139" s="28" t="n">
        <x:v>668.17</x:v>
      </x:c>
      <x:c r="AE139" s="15" t="str">
        <x:v>REVISAR_DATOS</x:v>
      </x:c>
      <x:c r="AF139" s="15" t="str">
        <x:v>true</x:v>
      </x:c>
    </x:row>
    <x:row r="140">
      <x:c r="A140" s="15" t="str">
        <x:v>SYN-139</x:v>
      </x:c>
      <x:c r="B140" s="15" t="str">
        <x:v>Carpas</x:v>
      </x:c>
      <x:c r="C140" s="15" t="n">
        <x:v>13.29</x:v>
      </x:c>
      <x:c r="D140" s="15" t="n">
        <x:v>1</x:v>
      </x:c>
      <x:c r="E140" s="15" t="n">
        <x:v>1</x:v>
      </x:c>
      <x:c r="F140" s="15" t="n">
        <x:v>61</x:v>
      </x:c>
      <x:c r="G140" s="15" t="n">
        <x:v>88</x:v>
      </x:c>
      <x:c r="H140" s="15" t="n">
        <x:v>17</x:v>
      </x:c>
      <x:c r="I140" s="15" t="str">
        <x:v>CONCRETADA</x:v>
      </x:c>
      <x:c r="J140" s="15" t="n">
        <x:v>1</x:v>
      </x:c>
      <x:c r="K140" s="15" t="str">
        <x:v>true</x:v>
      </x:c>
      <x:c r="L140" s="15" t="n">
        <x:v>1725.62</x:v>
      </x:c>
      <x:c r="M140" s="15" t="n">
        <x:v>5</x:v>
      </x:c>
      <x:c r="N140" s="15" t="n">
        <x:v>4</x:v>
      </x:c>
      <x:c r="O140" s="15" t="str">
        <x:v>ABIERTA</x:v>
      </x:c>
      <x:c r="P140" s="15" t="str">
        <x:v>Lino liviano DEMO</x:v>
      </x:c>
      <x:c r="Q140" s="15" t="str">
        <x:v>LIVIANO</x:v>
      </x:c>
      <x:c r="R140" s="15" t="str">
        <x:v>m² simulado</x:v>
      </x:c>
      <x:c r="S140" s="15" t="n">
        <x:v>1.12</x:v>
      </x:c>
      <x:c r="T140" s="15" t="n">
        <x:v>22.4</x:v>
      </x:c>
      <x:c r="U140" s="15" t="n">
        <x:v>28</x:v>
      </x:c>
      <x:c r="V140" s="15" t="n">
        <x:v>0</x:v>
      </x:c>
      <x:c r="W140" s="15" t="str">
        <x:v>SUFICIENTE_EN_ESCENARIO</x:v>
      </x:c>
      <x:c r="X140" s="15" t="n">
        <x:v>108</x:v>
      </x:c>
      <x:c r="Y140" s="15" t="n">
        <x:v>2160</x:v>
      </x:c>
      <x:c r="Z140" s="15" t="n">
        <x:v>287.06</x:v>
      </x:c>
      <x:c r="AA140" s="28" t="n">
        <x:v>1872.94</x:v>
      </x:c>
      <x:c r="AB140" s="15" t="n">
        <x:v>22</x:v>
      </x:c>
      <x:c r="AC140" s="28" t="n">
        <x:v>492.8</x:v>
      </x:c>
      <x:c r="AD140" s="28" t="n">
        <x:v>1380.14</x:v>
      </x:c>
      <x:c r="AE140" s="15" t="str">
        <x:v>FACTIBLE_CON_REGLAS_SINTETICAS</x:v>
      </x:c>
      <x:c r="AF140" s="15" t="str">
        <x:v>true</x:v>
      </x:c>
    </x:row>
    <x:row r="141">
      <x:c r="A141" s="15" t="str">
        <x:v>SYN-140</x:v>
      </x:c>
      <x:c r="B141" s="15" t="str">
        <x:v>Toldos</x:v>
      </x:c>
      <x:c r="C141" s="15" t="n">
        <x:v>12.71</x:v>
      </x:c>
      <x:c r="D141" s="15" t="n">
        <x:v>1</x:v>
      </x:c>
      <x:c r="E141" s="15" t="n">
        <x:v>1</x:v>
      </x:c>
      <x:c r="F141" s="15" t="n">
        <x:v>12</x:v>
      </x:c>
      <x:c r="G141" s="15" t="n">
        <x:v>11</x:v>
      </x:c>
      <x:c r="H141" s="15" t="n">
        <x:v>6</x:v>
      </x:c>
      <x:c r="I141" s="15" t="str">
        <x:v>CONCRETADA</x:v>
      </x:c>
      <x:c r="J141" s="15" t="n">
        <x:v>1</x:v>
      </x:c>
      <x:c r="K141" s="15" t="str">
        <x:v>true</x:v>
      </x:c>
      <x:c r="L141" s="15" t="n">
        <x:v>725</x:v>
      </x:c>
      <x:c r="M141" s="15" t="n">
        <x:v>5</x:v>
      </x:c>
      <x:c r="N141" s="15" t="n">
        <x:v>4</x:v>
      </x:c>
      <x:c r="O141" s="15" t="str">
        <x:v>NO_APLICA</x:v>
      </x:c>
      <x:c r="P141" s="15" t="str">
        <x:v>Lona orillo azul DEMO</x:v>
      </x:c>
      <x:c r="Q141" s="15" t="str">
        <x:v>ESTANDAR</x:v>
      </x:c>
      <x:c r="R141" s="15" t="str">
        <x:v>m² simulado</x:v>
      </x:c>
      <x:c r="S141" s="15" t="n">
        <x:v>1.1</x:v>
      </x:c>
      <x:c r="T141" s="15" t="n">
        <x:v>22</x:v>
      </x:c>
      <x:c r="U141" s="15" t="n">
        <x:v>22</x:v>
      </x:c>
      <x:c r="V141" s="15" t="n">
        <x:v>0</x:v>
      </x:c>
      <x:c r="W141" s="15" t="str">
        <x:v>SUFICIENTE_EN_ESCENARIO</x:v>
      </x:c>
      <x:c r="X141" s="15" t="n">
        <x:v>120</x:v>
      </x:c>
      <x:c r="Y141" s="15" t="n">
        <x:v>2400</x:v>
      </x:c>
      <x:c r="Z141" s="15" t="n">
        <x:v>305.04</x:v>
      </x:c>
      <x:c r="AA141" s="28" t="n">
        <x:v>2094.96</x:v>
      </x:c>
      <x:c r="AB141" s="15" t="n">
        <x:v>25</x:v>
      </x:c>
      <x:c r="AC141" s="28" t="n">
        <x:v>550</x:v>
      </x:c>
      <x:c r="AD141" s="28" t="n">
        <x:v>1544.96</x:v>
      </x:c>
      <x:c r="AE141" s="15" t="str">
        <x:v>FACTIBLE_CON_REGLAS_SINTETICAS</x:v>
      </x:c>
      <x:c r="AF141" s="15" t="str">
        <x:v>true</x:v>
      </x:c>
    </x:row>
    <x:row r="142">
      <x:c r="A142" s="15" t="str">
        <x:v>SYN-141</x:v>
      </x:c>
      <x:c r="B142" s="15" t="str">
        <x:v>Tapizado de moto</x:v>
      </x:c>
      <x:c r="C142" s="15" t="n">
        <x:v>16.81</x:v>
      </x:c>
      <x:c r="D142" s="15" t="n">
        <x:v>1</x:v>
      </x:c>
      <x:c r="E142" s="15" t="n">
        <x:v>0</x:v>
      </x:c>
      <x:c r="F142" s="15" t="n">
        <x:v>57</x:v>
      </x:c>
      <x:c r="G142" s="15" t="n">
        <x:v>76</x:v>
      </x:c>
      <x:c r="H142" s="15" t="n">
        <x:v>7</x:v>
      </x:c>
      <x:c r="I142" s="15" t="str">
        <x:v>NO_CONCRETADA</x:v>
      </x:c>
      <x:c r="J142" s="15" t="n">
        <x:v>0</x:v>
      </x:c>
      <x:c r="K142" s="15" t="str">
        <x:v>true</x:v>
      </x:c>
      <x:c r="L142" s="15" t="n">
        <x:v>1950.95</x:v>
      </x:c>
      <x:c r="M142" s="15" t="n">
        <x:v>3</x:v>
      </x:c>
      <x:c r="N142" s="15" t="n">
        <x:v>3</x:v>
      </x:c>
      <x:c r="O142" s="15" t="str">
        <x:v>NO_APLICA</x:v>
      </x:c>
      <x:c r="P142" s="15" t="str">
        <x:v>Oxford DEMO</x:v>
      </x:c>
      <x:c r="Q142" s="15" t="str">
        <x:v>NO_APLICA</x:v>
      </x:c>
      <x:c r="R142" s="15" t="str">
        <x:v>m² equivalente DEMO</x:v>
      </x:c>
      <x:c r="S142" s="15" t="n">
        <x:v>0.55</x:v>
      </x:c>
      <x:c r="T142" s="15" t="n">
        <x:v>4.95</x:v>
      </x:c>
      <x:c r="U142" s="15" t="n">
        <x:v>9</x:v>
      </x:c>
      <x:c r="V142" s="15" t="n">
        <x:v>0</x:v>
      </x:c>
      <x:c r="W142" s="15" t="str">
        <x:v>SUFICIENTE_EN_ESCENARIO</x:v>
      </x:c>
      <x:c r="X142" s="15" t="n">
        <x:v>155</x:v>
      </x:c>
      <x:c r="Y142" s="15" t="n">
        <x:v>1395</x:v>
      </x:c>
      <x:c r="Z142" s="15" t="n">
        <x:v>234.5</x:v>
      </x:c>
      <x:c r="AA142" s="28" t="n">
        <x:v>1160.5</x:v>
      </x:c>
      <x:c r="AB142" s="15" t="n">
        <x:v>38</x:v>
      </x:c>
      <x:c r="AC142" s="28" t="n">
        <x:v>188.1</x:v>
      </x:c>
      <x:c r="AD142" s="28" t="n">
        <x:v>972.4</x:v>
      </x:c>
      <x:c r="AE142" s="15" t="str">
        <x:v>FACTIBLE_CON_REGLAS_SINTETICAS</x:v>
      </x:c>
      <x:c r="AF142" s="15" t="str">
        <x:v>true</x:v>
      </x:c>
    </x:row>
    <x:row r="143">
      <x:c r="A143" s="15" t="str">
        <x:v>SYN-142</x:v>
      </x:c>
      <x:c r="B143" s="15" t="str">
        <x:v>Carpas</x:v>
      </x:c>
      <x:c r="C143" s="15" t="n">
        <x:v>2.93</x:v>
      </x:c>
      <x:c r="D143" s="15" t="n">
        <x:v>1</x:v>
      </x:c>
      <x:c r="E143" s="15" t="n">
        <x:v>1</x:v>
      </x:c>
      <x:c r="F143" s="15" t="n">
        <x:v>34</x:v>
      </x:c>
      <x:c r="G143" s="15" t="n">
        <x:v>42</x:v>
      </x:c>
      <x:c r="H143" s="15" t="n">
        <x:v>7</x:v>
      </x:c>
      <x:c r="I143" s="15" t="str">
        <x:v>NO_CONCRETADA</x:v>
      </x:c>
      <x:c r="J143" s="15" t="n">
        <x:v>0</x:v>
      </x:c>
      <x:c r="K143" s="15" t="str">
        <x:v>true</x:v>
      </x:c>
      <x:c r="L143" s="15" t="n">
        <x:v>8171.2</x:v>
      </x:c>
      <x:c r="M143" s="15" t="n">
        <x:v>3</x:v>
      </x:c>
      <x:c r="N143" s="15" t="n">
        <x:v>2</x:v>
      </x:c>
      <x:c r="O143" s="15" t="str">
        <x:v>ABIERTA</x:v>
      </x:c>
      <x:c r="P143" s="15" t="str">
        <x:v>Lino económico DEMO</x:v>
      </x:c>
      <x:c r="Q143" s="15" t="str">
        <x:v>ECONOMICO</x:v>
      </x:c>
      <x:c r="R143" s="15" t="str">
        <x:v>m² simulado</x:v>
      </x:c>
      <x:c r="S143" s="15" t="n">
        <x:v>1.12</x:v>
      </x:c>
      <x:c r="T143" s="15" t="n">
        <x:v>6.72</x:v>
      </x:c>
      <x:c r="U143" s="15" t="n">
        <x:v>32</x:v>
      </x:c>
      <x:c r="V143" s="15" t="n">
        <x:v>0</x:v>
      </x:c>
      <x:c r="W143" s="15" t="str">
        <x:v>SUFICIENTE_EN_ESCENARIO</x:v>
      </x:c>
      <x:c r="X143" s="15" t="n">
        <x:v>95</x:v>
      </x:c>
      <x:c r="Y143" s="15" t="n">
        <x:v>570</x:v>
      </x:c>
      <x:c r="Z143" s="15" t="n">
        <x:v>16.7</x:v>
      </x:c>
      <x:c r="AA143" s="28" t="n">
        <x:v>553.3</x:v>
      </x:c>
      <x:c r="AB143" s="15" t="n">
        <x:v>18</x:v>
      </x:c>
      <x:c r="AC143" s="28" t="n">
        <x:v>120.96</x:v>
      </x:c>
      <x:c r="AD143" s="28" t="n">
        <x:v>432.34</x:v>
      </x:c>
      <x:c r="AE143" s="15" t="str">
        <x:v>FACTIBLE_CON_REGLAS_SINTETICAS</x:v>
      </x:c>
      <x:c r="AF143" s="15" t="str">
        <x:v>true</x:v>
      </x:c>
    </x:row>
    <x:row r="144">
      <x:c r="A144" s="15" t="str">
        <x:v>SYN-143</x:v>
      </x:c>
      <x:c r="B144" s="15" t="str">
        <x:v>Toldos</x:v>
      </x:c>
      <x:c r="C144" s="15" t="n">
        <x:v>5.19</x:v>
      </x:c>
      <x:c r="D144" s="15" t="n">
        <x:v>1</x:v>
      </x:c>
      <x:c r="E144" s="15" t="n">
        <x:v>1</x:v>
      </x:c>
      <x:c r="F144" s="15" t="n">
        <x:v>31</x:v>
      </x:c>
      <x:c r="G144" s="15" t="n">
        <x:v>72</x:v>
      </x:c>
      <x:c r="H144" s="15" t="n">
        <x:v>14</x:v>
      </x:c>
      <x:c r="I144" s="15" t="str">
        <x:v>CONCRETADA</x:v>
      </x:c>
      <x:c r="J144" s="15" t="n">
        <x:v>1</x:v>
      </x:c>
      <x:c r="K144" s="15" t="str">
        <x:v>true</x:v>
      </x:c>
      <x:c r="L144" s="15" t="n">
        <x:v>4117.43</x:v>
      </x:c>
      <x:c r="M144" s="15" t="n">
        <x:v>3</x:v>
      </x:c>
      <x:c r="N144" s="15" t="n">
        <x:v>2</x:v>
      </x:c>
      <x:c r="O144" s="15" t="str">
        <x:v>NO_APLICA</x:v>
      </x:c>
      <x:c r="P144" s="15" t="str">
        <x:v>Tarflex DEMO</x:v>
      </x:c>
      <x:c r="Q144" s="15" t="str">
        <x:v>ESTANDAR</x:v>
      </x:c>
      <x:c r="R144" s="15" t="str">
        <x:v>m² simulado</x:v>
      </x:c>
      <x:c r="S144" s="15" t="n">
        <x:v>1.1</x:v>
      </x:c>
      <x:c r="T144" s="15" t="n">
        <x:v>6.6</x:v>
      </x:c>
      <x:c r="U144" s="15" t="n">
        <x:v>24</x:v>
      </x:c>
      <x:c r="V144" s="15" t="n">
        <x:v>0</x:v>
      </x:c>
      <x:c r="W144" s="15" t="str">
        <x:v>SUFICIENTE_EN_ESCENARIO</x:v>
      </x:c>
      <x:c r="X144" s="15" t="n">
        <x:v>112</x:v>
      </x:c>
      <x:c r="Y144" s="15" t="n">
        <x:v>672</x:v>
      </x:c>
      <x:c r="Z144" s="15" t="n">
        <x:v>34.88</x:v>
      </x:c>
      <x:c r="AA144" s="28" t="n">
        <x:v>637.12</x:v>
      </x:c>
      <x:c r="AB144" s="15" t="n">
        <x:v>23</x:v>
      </x:c>
      <x:c r="AC144" s="28" t="n">
        <x:v>151.8</x:v>
      </x:c>
      <x:c r="AD144" s="28" t="n">
        <x:v>485.32</x:v>
      </x:c>
      <x:c r="AE144" s="15" t="str">
        <x:v>FACTIBLE_CON_REGLAS_SINTETICAS</x:v>
      </x:c>
      <x:c r="AF144" s="15" t="str">
        <x:v>true</x:v>
      </x:c>
    </x:row>
    <x:row r="145">
      <x:c r="A145" s="15" t="str">
        <x:v>SYN-144</x:v>
      </x:c>
      <x:c r="B145" s="15" t="str">
        <x:v>Tapizado de moto</x:v>
      </x:c>
      <x:c r="C145" s="15" t="n">
        <x:v>4.2</x:v>
      </x:c>
      <x:c r="D145" s="15" t="n">
        <x:v>1</x:v>
      </x:c>
      <x:c r="E145" s="15" t="n">
        <x:v>0</x:v>
      </x:c>
      <x:c r="F145" s="15" t="n">
        <x:v>50</x:v>
      </x:c>
      <x:c r="G145" s="15" t="n">
        <x:v>39</x:v>
      </x:c>
      <x:c r="H145" s="15" t="n">
        <x:v>5</x:v>
      </x:c>
      <x:c r="I145" s="15" t="str">
        <x:v>CONCRETADA</x:v>
      </x:c>
      <x:c r="J145" s="15" t="n">
        <x:v>1</x:v>
      </x:c>
      <x:c r="K145" s="15" t="str">
        <x:v>true</x:v>
      </x:c>
      <x:c r="L145" s="15" t="n">
        <x:v>1949.79</x:v>
      </x:c>
      <x:c r="M145" s="15" t="n">
        <x:v>2</x:v>
      </x:c>
      <x:c r="N145" s="15" t="n">
        <x:v>2</x:v>
      </x:c>
      <x:c r="O145" s="15" t="str">
        <x:v>NO_APLICA</x:v>
      </x:c>
      <x:c r="P145" s="15" t="str">
        <x:v>Oxford DEMO</x:v>
      </x:c>
      <x:c r="Q145" s="15" t="str">
        <x:v>NO_APLICA</x:v>
      </x:c>
      <x:c r="R145" s="15" t="str">
        <x:v>m² equivalente DEMO</x:v>
      </x:c>
      <x:c r="S145" s="15" t="n">
        <x:v>0.55</x:v>
      </x:c>
      <x:c r="T145" s="15" t="n">
        <x:v>2.2</x:v>
      </x:c>
      <x:c r="U145" s="15" t="n">
        <x:v>9</x:v>
      </x:c>
      <x:c r="V145" s="15" t="n">
        <x:v>0</x:v>
      </x:c>
      <x:c r="W145" s="15" t="str">
        <x:v>SUFICIENTE_EN_ESCENARIO</x:v>
      </x:c>
      <x:c r="X145" s="15" t="n">
        <x:v>155</x:v>
      </x:c>
      <x:c r="Y145" s="15" t="n">
        <x:v>620</x:v>
      </x:c>
      <x:c r="Z145" s="15" t="n">
        <x:v>26.04</x:v>
      </x:c>
      <x:c r="AA145" s="28" t="n">
        <x:v>593.96</x:v>
      </x:c>
      <x:c r="AB145" s="15" t="n">
        <x:v>38</x:v>
      </x:c>
      <x:c r="AC145" s="28" t="n">
        <x:v>83.6</x:v>
      </x:c>
      <x:c r="AD145" s="28" t="n">
        <x:v>510.36</x:v>
      </x:c>
      <x:c r="AE145" s="15" t="str">
        <x:v>FACTIBLE_CON_REGLAS_SINTETICAS</x:v>
      </x:c>
      <x:c r="AF145" s="15" t="str">
        <x:v>true</x:v>
      </x:c>
    </x:row>
    <x:row r="146">
      <x:c r="A146" s="15" t="str">
        <x:v>SYN-145</x:v>
      </x:c>
      <x:c r="B146" s="15" t="str">
        <x:v>Carpas</x:v>
      </x:c>
      <x:c r="C146" s="15" t="n">
        <x:v>15.62</x:v>
      </x:c>
      <x:c r="D146" s="15" t="n">
        <x:v>1</x:v>
      </x:c>
      <x:c r="E146" s="15" t="n">
        <x:v>1</x:v>
      </x:c>
      <x:c r="F146" s="15" t="n">
        <x:v>9</x:v>
      </x:c>
      <x:c r="G146" s="15" t="n">
        <x:v>29</x:v>
      </x:c>
      <x:c r="H146" s="15" t="n">
        <x:v>7</x:v>
      </x:c>
      <x:c r="I146" s="15" t="str">
        <x:v>CONCRETADA</x:v>
      </x:c>
      <x:c r="J146" s="15" t="n">
        <x:v>1</x:v>
      </x:c>
      <x:c r="K146" s="15" t="str">
        <x:v>true</x:v>
      </x:c>
      <x:c r="L146" s="15" t="n">
        <x:v>2899.38</x:v>
      </x:c>
      <x:c r="M146" s="15" t="n">
        <x:v>6</x:v>
      </x:c>
      <x:c r="N146" s="15" t="n">
        <x:v>4</x:v>
      </x:c>
      <x:c r="O146" s="15" t="str">
        <x:v>CERRADA</x:v>
      </x:c>
      <x:c r="P146" s="15" t="str">
        <x:v>Lino pesado DEMO</x:v>
      </x:c>
      <x:c r="Q146" s="15" t="str">
        <x:v>PESADO</x:v>
      </x:c>
      <x:c r="R146" s="15" t="str">
        <x:v>m² simulado</x:v>
      </x:c>
      <x:c r="S146" s="15" t="n">
        <x:v>1.55</x:v>
      </x:c>
      <x:c r="T146" s="15" t="n">
        <x:v>37.2</x:v>
      </x:c>
      <x:c r="U146" s="15" t="n">
        <x:v>20</x:v>
      </x:c>
      <x:c r="V146" s="15" t="n">
        <x:v>17.2</x:v>
      </x:c>
      <x:c r="W146" s="15" t="str">
        <x:v>FALTANTE_EN_ESCENARIO</x:v>
      </x:c>
      <x:c r="X146" s="15" t="n">
        <x:v>125</x:v>
      </x:c>
      <x:c r="Y146" s="15" t="n">
        <x:v>4050</x:v>
      </x:c>
      <x:c r="Z146" s="15" t="n">
        <x:v>632.61</x:v>
      </x:c>
      <x:c r="AA146" s="28" t="n">
        <x:v>3417.39</x:v>
      </x:c>
      <x:c r="AB146" s="15" t="n">
        <x:v>29</x:v>
      </x:c>
      <x:c r="AC146" s="28" t="n">
        <x:v>1078.8</x:v>
      </x:c>
      <x:c r="AD146" s="28" t="n">
        <x:v>2338.59</x:v>
      </x:c>
      <x:c r="AE146" s="15" t="str">
        <x:v>FALTA_STOCK</x:v>
      </x:c>
      <x:c r="AF146" s="15" t="str">
        <x:v>true</x:v>
      </x:c>
    </x:row>
    <x:row r="147">
      <x:c r="A147" s="15" t="str">
        <x:v>SYN-146</x:v>
      </x:c>
      <x:c r="B147" s="15" t="str">
        <x:v>Toldos</x:v>
      </x:c>
      <x:c r="C147" s="15" t="n">
        <x:v>0.64</x:v>
      </x:c>
      <x:c r="D147" s="15" t="n">
        <x:v>1</x:v>
      </x:c>
      <x:c r="E147" s="15" t="n">
        <x:v>1</x:v>
      </x:c>
      <x:c r="F147" s="15" t="n">
        <x:v>15</x:v>
      </x:c>
      <x:c r="G147" s="15" t="n">
        <x:v>57</x:v>
      </x:c>
      <x:c r="H147" s="15" t="n">
        <x:v>1</x:v>
      </x:c>
      <x:c r="I147" s="15" t="str">
        <x:v>CONCRETADA</x:v>
      </x:c>
      <x:c r="J147" s="15" t="n">
        <x:v>1</x:v>
      </x:c>
      <x:c r="K147" s="15" t="str">
        <x:v>true</x:v>
      </x:c>
      <x:c r="L147" s="15" t="n">
        <x:v>4820.46</x:v>
      </x:c>
      <x:c r="M147" s="15" t="n">
        <x:v>6</x:v>
      </x:c>
      <x:c r="N147" s="15" t="n">
        <x:v>4</x:v>
      </x:c>
      <x:c r="O147" s="15" t="str">
        <x:v>NO_APLICA</x:v>
      </x:c>
      <x:c r="P147" s="15" t="str">
        <x:v>Lona orillo rojo DEMO</x:v>
      </x:c>
      <x:c r="Q147" s="15" t="str">
        <x:v>ESTANDAR</x:v>
      </x:c>
      <x:c r="R147" s="15" t="str">
        <x:v>m² simulado</x:v>
      </x:c>
      <x:c r="S147" s="15" t="n">
        <x:v>1.1</x:v>
      </x:c>
      <x:c r="T147" s="15" t="n">
        <x:v>26.4</x:v>
      </x:c>
      <x:c r="U147" s="15" t="n">
        <x:v>18</x:v>
      </x:c>
      <x:c r="V147" s="15" t="n">
        <x:v>8.4</x:v>
      </x:c>
      <x:c r="W147" s="15" t="str">
        <x:v>FALTANTE_EN_ESCENARIO</x:v>
      </x:c>
      <x:c r="X147" s="15" t="n">
        <x:v>122</x:v>
      </x:c>
      <x:c r="Y147" s="15" t="n">
        <x:v>2928</x:v>
      </x:c>
      <x:c r="Z147" s="15" t="n">
        <x:v>18.74</x:v>
      </x:c>
      <x:c r="AA147" s="28" t="n">
        <x:v>2909.26</x:v>
      </x:c>
      <x:c r="AB147" s="15" t="n">
        <x:v>26</x:v>
      </x:c>
      <x:c r="AC147" s="28" t="n">
        <x:v>686.4</x:v>
      </x:c>
      <x:c r="AD147" s="28" t="n">
        <x:v>2222.86</x:v>
      </x:c>
      <x:c r="AE147" s="15" t="str">
        <x:v>FALTA_STOCK</x:v>
      </x:c>
      <x:c r="AF147" s="15" t="str">
        <x:v>true</x:v>
      </x:c>
    </x:row>
    <x:row r="148">
      <x:c r="A148" s="15" t="str">
        <x:v>SYN-147</x:v>
      </x:c>
      <x:c r="B148" s="15" t="str">
        <x:v>Tapizado de moto</x:v>
      </x:c>
      <x:c r="C148" s="15" t="n">
        <x:v>5.58</x:v>
      </x:c>
      <x:c r="D148" s="15" t="n">
        <x:v>1</x:v>
      </x:c>
      <x:c r="E148" s="15" t="n">
        <x:v>1</x:v>
      </x:c>
      <x:c r="F148" s="15" t="n">
        <x:v>18</x:v>
      </x:c>
      <x:c r="G148" s="15" t="n">
        <x:v>40</x:v>
      </x:c>
      <x:c r="H148" s="15" t="n">
        <x:v>3</x:v>
      </x:c>
      <x:c r="I148" s="15" t="str">
        <x:v>CONCRETADA</x:v>
      </x:c>
      <x:c r="J148" s="15" t="n">
        <x:v>1</x:v>
      </x:c>
      <x:c r="K148" s="15" t="str">
        <x:v>true</x:v>
      </x:c>
      <x:c r="L148" s="15" t="n">
        <x:v>1188.24</x:v>
      </x:c>
      <x:c r="M148" s="15" t="n">
        <x:v>2</x:v>
      </x:c>
      <x:c r="N148" s="15" t="n">
        <x:v>2</x:v>
      </x:c>
      <x:c r="O148" s="15" t="str">
        <x:v>NO_APLICA</x:v>
      </x:c>
      <x:c r="P148" s="15" t="str">
        <x:v>Oxford DEMO</x:v>
      </x:c>
      <x:c r="Q148" s="15" t="str">
        <x:v>NO_APLICA</x:v>
      </x:c>
      <x:c r="R148" s="15" t="str">
        <x:v>m² equivalente DEMO</x:v>
      </x:c>
      <x:c r="S148" s="15" t="n">
        <x:v>0.55</x:v>
      </x:c>
      <x:c r="T148" s="15" t="n">
        <x:v>2.2</x:v>
      </x:c>
      <x:c r="U148" s="15" t="n">
        <x:v>9</x:v>
      </x:c>
      <x:c r="V148" s="15" t="n">
        <x:v>0</x:v>
      </x:c>
      <x:c r="W148" s="15" t="str">
        <x:v>SUFICIENTE_EN_ESCENARIO</x:v>
      </x:c>
      <x:c r="X148" s="15" t="n">
        <x:v>155</x:v>
      </x:c>
      <x:c r="Y148" s="15" t="n">
        <x:v>620</x:v>
      </x:c>
      <x:c r="Z148" s="15" t="n">
        <x:v>34.6</x:v>
      </x:c>
      <x:c r="AA148" s="28" t="n">
        <x:v>585.4</x:v>
      </x:c>
      <x:c r="AB148" s="15" t="n">
        <x:v>38</x:v>
      </x:c>
      <x:c r="AC148" s="28" t="n">
        <x:v>83.6</x:v>
      </x:c>
      <x:c r="AD148" s="28" t="n">
        <x:v>501.8</x:v>
      </x:c>
      <x:c r="AE148" s="15" t="str">
        <x:v>FACTIBLE_CON_REGLAS_SINTETICAS</x:v>
      </x:c>
      <x:c r="AF148" s="15" t="str">
        <x:v>true</x:v>
      </x:c>
    </x:row>
    <x:row r="149">
      <x:c r="A149" s="15" t="str">
        <x:v>SYN-148</x:v>
      </x:c>
      <x:c r="B149" s="15" t="str">
        <x:v>Carpas</x:v>
      </x:c>
      <x:c r="C149" s="15" t="n">
        <x:v>10.06</x:v>
      </x:c>
      <x:c r="D149" s="15" t="n">
        <x:v>1</x:v>
      </x:c>
      <x:c r="E149" s="15" t="n">
        <x:v>1</x:v>
      </x:c>
      <x:c r="F149" s="15" t="n">
        <x:v>12</x:v>
      </x:c>
      <x:c r="G149" s="15" t="n">
        <x:v>28</x:v>
      </x:c>
      <x:c r="H149" s="15" t="n">
        <x:v>17</x:v>
      </x:c>
      <x:c r="I149" s="15" t="str">
        <x:v>NO_CONCRETADA</x:v>
      </x:c>
      <x:c r="J149" s="15" t="n">
        <x:v>0</x:v>
      </x:c>
      <x:c r="K149" s="15" t="str">
        <x:v>true</x:v>
      </x:c>
      <x:c r="L149" s="15" t="n">
        <x:v>2290.82</x:v>
      </x:c>
      <x:c r="M149" s="15" t="n">
        <x:v>6</x:v>
      </x:c>
      <x:c r="N149" s="15" t="n">
        <x:v>4</x:v>
      </x:c>
      <x:c r="O149" s="15" t="str">
        <x:v>ABIERTA</x:v>
      </x:c>
      <x:c r="P149" s="15" t="str">
        <x:v>Lino económico DEMO</x:v>
      </x:c>
      <x:c r="Q149" s="15" t="str">
        <x:v>ECONOMICO</x:v>
      </x:c>
      <x:c r="R149" s="15" t="str">
        <x:v>m² simulado</x:v>
      </x:c>
      <x:c r="S149" s="15" t="n">
        <x:v>1.12</x:v>
      </x:c>
      <x:c r="T149" s="15" t="n">
        <x:v>26.88</x:v>
      </x:c>
      <x:c r="U149" s="15" t="n">
        <x:v>32</x:v>
      </x:c>
      <x:c r="V149" s="15" t="n">
        <x:v>0</x:v>
      </x:c>
      <x:c r="W149" s="15" t="str">
        <x:v>SUFICIENTE_EN_ESCENARIO</x:v>
      </x:c>
      <x:c r="X149" s="15" t="n">
        <x:v>95</x:v>
      </x:c>
      <x:c r="Y149" s="15" t="n">
        <x:v>2280</x:v>
      </x:c>
      <x:c r="Z149" s="15" t="n">
        <x:v>229.37</x:v>
      </x:c>
      <x:c r="AA149" s="28" t="n">
        <x:v>2050.63</x:v>
      </x:c>
      <x:c r="AB149" s="15" t="n">
        <x:v>18</x:v>
      </x:c>
      <x:c r="AC149" s="28" t="n">
        <x:v>483.84</x:v>
      </x:c>
      <x:c r="AD149" s="28" t="n">
        <x:v>1566.79</x:v>
      </x:c>
      <x:c r="AE149" s="15" t="str">
        <x:v>FACTIBLE_CON_REGLAS_SINTETICAS</x:v>
      </x:c>
      <x:c r="AF149" s="15" t="str">
        <x:v>true</x:v>
      </x:c>
    </x:row>
    <x:row r="150">
      <x:c r="A150" s="15" t="str">
        <x:v>SYN-149</x:v>
      </x:c>
      <x:c r="B150" s="15" t="str">
        <x:v>Toldos</x:v>
      </x:c>
      <x:c r="C150" s="15" t="n">
        <x:v>6.88</x:v>
      </x:c>
      <x:c r="D150" s="15" t="n">
        <x:v>1</x:v>
      </x:c>
      <x:c r="E150" s="15" t="n">
        <x:v>1</x:v>
      </x:c>
      <x:c r="F150" s="15" t="n">
        <x:v>15</x:v>
      </x:c>
      <x:c r="G150" s="15" t="n">
        <x:v>51</x:v>
      </x:c>
      <x:c r="H150" s="15" t="n">
        <x:v>0</x:v>
      </x:c>
      <x:c r="I150" s="15" t="str">
        <x:v>CONCRETADA</x:v>
      </x:c>
      <x:c r="J150" s="15" t="n">
        <x:v>1</x:v>
      </x:c>
      <x:c r="K150" s="15" t="str">
        <x:v>true</x:v>
      </x:c>
      <x:c r="L150" s="15" t="n">
        <x:v>8498.11</x:v>
      </x:c>
      <x:c r="M150" s="15" t="n">
        <x:v>6</x:v>
      </x:c>
      <x:c r="N150" s="15" t="n">
        <x:v>4</x:v>
      </x:c>
      <x:c r="O150" s="15" t="str">
        <x:v>NO_APLICA</x:v>
      </x:c>
      <x:c r="P150" s="15" t="str">
        <x:v>Lona orillo rojo DEMO</x:v>
      </x:c>
      <x:c r="Q150" s="15" t="str">
        <x:v>ESTANDAR</x:v>
      </x:c>
      <x:c r="R150" s="15" t="str">
        <x:v>m² simulado</x:v>
      </x:c>
      <x:c r="S150" s="15" t="n">
        <x:v>1.1</x:v>
      </x:c>
      <x:c r="T150" s="15" t="n">
        <x:v>26.4</x:v>
      </x:c>
      <x:c r="U150" s="15" t="n">
        <x:v>18</x:v>
      </x:c>
      <x:c r="V150" s="15" t="n">
        <x:v>8.4</x:v>
      </x:c>
      <x:c r="W150" s="15" t="str">
        <x:v>FALTANTE_EN_ESCENARIO</x:v>
      </x:c>
      <x:c r="X150" s="15" t="n">
        <x:v>122</x:v>
      </x:c>
      <x:c r="Y150" s="15" t="n">
        <x:v>2928</x:v>
      </x:c>
      <x:c r="Z150" s="15" t="n">
        <x:v>201.45</x:v>
      </x:c>
      <x:c r="AA150" s="28" t="n">
        <x:v>2726.55</x:v>
      </x:c>
      <x:c r="AB150" s="15" t="n">
        <x:v>26</x:v>
      </x:c>
      <x:c r="AC150" s="28" t="n">
        <x:v>686.4</x:v>
      </x:c>
      <x:c r="AD150" s="28" t="n">
        <x:v>2040.15</x:v>
      </x:c>
      <x:c r="AE150" s="15" t="str">
        <x:v>FALTA_STOCK</x:v>
      </x:c>
      <x:c r="AF150" s="15" t="str">
        <x:v>true</x:v>
      </x:c>
    </x:row>
    <x:row r="151">
      <x:c r="A151" s="15" t="str">
        <x:v>SYN-150</x:v>
      </x:c>
      <x:c r="B151" s="15" t="str">
        <x:v>Tapizado de moto</x:v>
      </x:c>
      <x:c r="C151" s="15" t="n">
        <x:v>4.28</x:v>
      </x:c>
      <x:c r="D151" s="15" t="n">
        <x:v>0</x:v>
      </x:c>
      <x:c r="E151" s="15" t="n">
        <x:v>0</x:v>
      </x:c>
      <x:c r="F151" s="15" t="n">
        <x:v>33</x:v>
      </x:c>
      <x:c r="G151" s="15" t="n">
        <x:v>76</x:v>
      </x:c>
      <x:c r="H151" s="15" t="n">
        <x:v>14</x:v>
      </x:c>
      <x:c r="I151" s="15" t="str">
        <x:v>NO_CONCRETADA</x:v>
      </x:c>
      <x:c r="J151" s="15" t="n">
        <x:v>0</x:v>
      </x:c>
      <x:c r="K151" s="15" t="str">
        <x:v>true</x:v>
      </x:c>
      <x:c r="L151" s="15" t="n">
        <x:v>3809.56</x:v>
      </x:c>
      <x:c r="M151" s="15" t="n">
        <x:v>3</x:v>
      </x:c>
      <x:c r="N151" s="15" t="n">
        <x:v>2</x:v>
      </x:c>
      <x:c r="O151" s="15" t="str">
        <x:v>NO_APLICA</x:v>
      </x:c>
      <x:c r="P151" s="15" t="str">
        <x:v>Oxford DEMO</x:v>
      </x:c>
      <x:c r="Q151" s="15" t="str">
        <x:v>NO_APLICA</x:v>
      </x:c>
      <x:c r="R151" s="15" t="str">
        <x:v>m² equivalente DEMO</x:v>
      </x:c>
      <x:c r="S151" s="15" t="n">
        <x:v>0.55</x:v>
      </x:c>
      <x:c r="T151" s="15" t="n">
        <x:v>3.3</x:v>
      </x:c>
      <x:c r="U151" s="15" t="n">
        <x:v>9</x:v>
      </x:c>
      <x:c r="V151" s="15" t="n">
        <x:v>0</x:v>
      </x:c>
      <x:c r="W151" s="15" t="str">
        <x:v>SUFICIENTE_EN_ESCENARIO</x:v>
      </x:c>
      <x:c r="X151" s="15" t="n">
        <x:v>155</x:v>
      </x:c>
      <x:c r="Y151" s="15" t="n">
        <x:v>930</x:v>
      </x:c>
      <x:c r="Z151" s="15" t="n">
        <x:v>39.8</x:v>
      </x:c>
      <x:c r="AA151" s="28" t="n">
        <x:v>890.2</x:v>
      </x:c>
      <x:c r="AB151" s="15" t="n">
        <x:v>38</x:v>
      </x:c>
      <x:c r="AC151" s="28" t="n">
        <x:v>125.4</x:v>
      </x:c>
      <x:c r="AD151" s="28" t="n">
        <x:v>764.8</x:v>
      </x:c>
      <x:c r="AE151" s="15" t="str">
        <x:v>REVISAR_DATOS</x:v>
      </x:c>
      <x:c r="AF151" s="15" t="str">
        <x:v>true</x:v>
      </x:c>
    </x:row>
    <x:row r="152">
      <x:c r="A152" s="15" t="str">
        <x:v>SYN-151</x:v>
      </x:c>
      <x:c r="B152" s="15" t="str">
        <x:v>Carpas</x:v>
      </x:c>
      <x:c r="C152" s="15" t="n">
        <x:v>6.8</x:v>
      </x:c>
      <x:c r="D152" s="15" t="n">
        <x:v>1</x:v>
      </x:c>
      <x:c r="E152" s="15" t="n">
        <x:v>1</x:v>
      </x:c>
      <x:c r="F152" s="15" t="n">
        <x:v>29</x:v>
      </x:c>
      <x:c r="G152" s="15" t="n">
        <x:v>47</x:v>
      </x:c>
      <x:c r="H152" s="15" t="n">
        <x:v>4</x:v>
      </x:c>
      <x:c r="I152" s="15" t="str">
        <x:v>CONCRETADA</x:v>
      </x:c>
      <x:c r="J152" s="15" t="n">
        <x:v>1</x:v>
      </x:c>
      <x:c r="K152" s="15" t="str">
        <x:v>true</x:v>
      </x:c>
      <x:c r="L152" s="15" t="n">
        <x:v>3127.75</x:v>
      </x:c>
      <x:c r="M152" s="15" t="n">
        <x:v>3</x:v>
      </x:c>
      <x:c r="N152" s="15" t="n">
        <x:v>2</x:v>
      </x:c>
      <x:c r="O152" s="15" t="str">
        <x:v>ABIERTA</x:v>
      </x:c>
      <x:c r="P152" s="15" t="str">
        <x:v>Lino pesado DEMO</x:v>
      </x:c>
      <x:c r="Q152" s="15" t="str">
        <x:v>PESADO</x:v>
      </x:c>
      <x:c r="R152" s="15" t="str">
        <x:v>m² simulado</x:v>
      </x:c>
      <x:c r="S152" s="15" t="n">
        <x:v>1.12</x:v>
      </x:c>
      <x:c r="T152" s="15" t="n">
        <x:v>6.72</x:v>
      </x:c>
      <x:c r="U152" s="15" t="n">
        <x:v>20</x:v>
      </x:c>
      <x:c r="V152" s="15" t="n">
        <x:v>0</x:v>
      </x:c>
      <x:c r="W152" s="15" t="str">
        <x:v>SUFICIENTE_EN_ESCENARIO</x:v>
      </x:c>
      <x:c r="X152" s="15" t="n">
        <x:v>125</x:v>
      </x:c>
      <x:c r="Y152" s="15" t="n">
        <x:v>750</x:v>
      </x:c>
      <x:c r="Z152" s="15" t="n">
        <x:v>51</x:v>
      </x:c>
      <x:c r="AA152" s="28" t="n">
        <x:v>699</x:v>
      </x:c>
      <x:c r="AB152" s="15" t="n">
        <x:v>29</x:v>
      </x:c>
      <x:c r="AC152" s="28" t="n">
        <x:v>194.88</x:v>
      </x:c>
      <x:c r="AD152" s="28" t="n">
        <x:v>504.12</x:v>
      </x:c>
      <x:c r="AE152" s="15" t="str">
        <x:v>FACTIBLE_CON_REGLAS_SINTETICAS</x:v>
      </x:c>
      <x:c r="AF152" s="15" t="str">
        <x:v>true</x:v>
      </x:c>
    </x:row>
    <x:row r="153">
      <x:c r="A153" s="15" t="str">
        <x:v>SYN-152</x:v>
      </x:c>
      <x:c r="B153" s="15" t="str">
        <x:v>Toldos</x:v>
      </x:c>
      <x:c r="C153" s="15" t="n">
        <x:v>2.59</x:v>
      </x:c>
      <x:c r="D153" s="15" t="n">
        <x:v>1</x:v>
      </x:c>
      <x:c r="E153" s="15" t="n">
        <x:v>0</x:v>
      </x:c>
      <x:c r="F153" s="15" t="n">
        <x:v>9</x:v>
      </x:c>
      <x:c r="G153" s="15" t="n">
        <x:v>87</x:v>
      </x:c>
      <x:c r="H153" s="15" t="n">
        <x:v>9</x:v>
      </x:c>
      <x:c r="I153" s="15" t="str">
        <x:v>CONCRETADA</x:v>
      </x:c>
      <x:c r="J153" s="15" t="n">
        <x:v>1</x:v>
      </x:c>
      <x:c r="K153" s="15" t="str">
        <x:v>true</x:v>
      </x:c>
      <x:c r="L153" s="15" t="n">
        <x:v>8143.38</x:v>
      </x:c>
      <x:c r="M153" s="15" t="n">
        <x:v>6</x:v>
      </x:c>
      <x:c r="N153" s="15" t="n">
        <x:v>4</x:v>
      </x:c>
      <x:c r="O153" s="15" t="str">
        <x:v>NO_APLICA</x:v>
      </x:c>
      <x:c r="P153" s="15" t="str">
        <x:v>Tarflex DEMO</x:v>
      </x:c>
      <x:c r="Q153" s="15" t="str">
        <x:v>ESTANDAR</x:v>
      </x:c>
      <x:c r="R153" s="15" t="str">
        <x:v>m² simulado</x:v>
      </x:c>
      <x:c r="S153" s="15" t="n">
        <x:v>1.1</x:v>
      </x:c>
      <x:c r="T153" s="15" t="n">
        <x:v>26.4</x:v>
      </x:c>
      <x:c r="U153" s="15" t="n">
        <x:v>24</x:v>
      </x:c>
      <x:c r="V153" s="15" t="n">
        <x:v>2.4</x:v>
      </x:c>
      <x:c r="W153" s="15" t="str">
        <x:v>FALTANTE_EN_ESCENARIO</x:v>
      </x:c>
      <x:c r="X153" s="15" t="n">
        <x:v>112</x:v>
      </x:c>
      <x:c r="Y153" s="15" t="n">
        <x:v>2688</x:v>
      </x:c>
      <x:c r="Z153" s="15" t="n">
        <x:v>69.62</x:v>
      </x:c>
      <x:c r="AA153" s="28" t="n">
        <x:v>2618.38</x:v>
      </x:c>
      <x:c r="AB153" s="15" t="n">
        <x:v>23</x:v>
      </x:c>
      <x:c r="AC153" s="28" t="n">
        <x:v>607.2</x:v>
      </x:c>
      <x:c r="AD153" s="28" t="n">
        <x:v>2011.18</x:v>
      </x:c>
      <x:c r="AE153" s="15" t="str">
        <x:v>FALTA_STOCK</x:v>
      </x:c>
      <x:c r="AF153" s="15" t="str">
        <x:v>true</x:v>
      </x:c>
    </x:row>
    <x:row r="154">
      <x:c r="A154" s="15" t="str">
        <x:v>SYN-153</x:v>
      </x:c>
      <x:c r="B154" s="15" t="str">
        <x:v>Tapizado de moto</x:v>
      </x:c>
      <x:c r="C154" s="15" t="n">
        <x:v>16.63</x:v>
      </x:c>
      <x:c r="D154" s="15" t="n">
        <x:v>1</x:v>
      </x:c>
      <x:c r="E154" s="15" t="n">
        <x:v>1</x:v>
      </x:c>
      <x:c r="F154" s="15" t="n">
        <x:v>36</x:v>
      </x:c>
      <x:c r="G154" s="15" t="n">
        <x:v>10</x:v>
      </x:c>
      <x:c r="H154" s="15" t="n">
        <x:v>8</x:v>
      </x:c>
      <x:c r="I154" s="15" t="str">
        <x:v>CONCRETADA</x:v>
      </x:c>
      <x:c r="J154" s="15" t="n">
        <x:v>1</x:v>
      </x:c>
      <x:c r="K154" s="15" t="str">
        <x:v>true</x:v>
      </x:c>
      <x:c r="L154" s="15" t="n">
        <x:v>2882.79</x:v>
      </x:c>
      <x:c r="M154" s="15" t="n">
        <x:v>4</x:v>
      </x:c>
      <x:c r="N154" s="15" t="n">
        <x:v>3</x:v>
      </x:c>
      <x:c r="O154" s="15" t="str">
        <x:v>NO_APLICA</x:v>
      </x:c>
      <x:c r="P154" s="15" t="str">
        <x:v>Oxford DEMO</x:v>
      </x:c>
      <x:c r="Q154" s="15" t="str">
        <x:v>NO_APLICA</x:v>
      </x:c>
      <x:c r="R154" s="15" t="str">
        <x:v>m² equivalente DEMO</x:v>
      </x:c>
      <x:c r="S154" s="15" t="n">
        <x:v>0.55</x:v>
      </x:c>
      <x:c r="T154" s="15" t="n">
        <x:v>6.6</x:v>
      </x:c>
      <x:c r="U154" s="15" t="n">
        <x:v>9</x:v>
      </x:c>
      <x:c r="V154" s="15" t="n">
        <x:v>0</x:v>
      </x:c>
      <x:c r="W154" s="15" t="str">
        <x:v>SUFICIENTE_EN_ESCENARIO</x:v>
      </x:c>
      <x:c r="X154" s="15" t="n">
        <x:v>155</x:v>
      </x:c>
      <x:c r="Y154" s="15" t="n">
        <x:v>1860</x:v>
      </x:c>
      <x:c r="Z154" s="15" t="n">
        <x:v>309.32</x:v>
      </x:c>
      <x:c r="AA154" s="28" t="n">
        <x:v>1550.68</x:v>
      </x:c>
      <x:c r="AB154" s="15" t="n">
        <x:v>38</x:v>
      </x:c>
      <x:c r="AC154" s="28" t="n">
        <x:v>250.8</x:v>
      </x:c>
      <x:c r="AD154" s="28" t="n">
        <x:v>1299.88</x:v>
      </x:c>
      <x:c r="AE154" s="15" t="str">
        <x:v>FACTIBLE_CON_REGLAS_SINTETICAS</x:v>
      </x:c>
      <x:c r="AF154" s="15" t="str">
        <x:v>true</x:v>
      </x:c>
    </x:row>
    <x:row r="155">
      <x:c r="A155" s="15" t="str">
        <x:v>SYN-154</x:v>
      </x:c>
      <x:c r="B155" s="15" t="str">
        <x:v>Carpas</x:v>
      </x:c>
      <x:c r="C155" s="15" t="n">
        <x:v>7.9</x:v>
      </x:c>
      <x:c r="D155" s="15" t="n">
        <x:v>0</x:v>
      </x:c>
      <x:c r="E155" s="15" t="n">
        <x:v>0</x:v>
      </x:c>
      <x:c r="F155" s="15" t="n">
        <x:v>3</x:v>
      </x:c>
      <x:c r="G155" s="15" t="n">
        <x:v>34</x:v>
      </x:c>
      <x:c r="H155" s="15" t="n">
        <x:v>12</x:v>
      </x:c>
      <x:c r="I155" s="15" t="str">
        <x:v>CONCRETADA</x:v>
      </x:c>
      <x:c r="J155" s="15" t="n">
        <x:v>1</x:v>
      </x:c>
      <x:c r="K155" s="15" t="str">
        <x:v>true</x:v>
      </x:c>
      <x:c r="L155" s="15" t="n">
        <x:v>6711.24</x:v>
      </x:c>
      <x:c r="M155" s="15" t="n">
        <x:v>6</x:v>
      </x:c>
      <x:c r="N155" s="15" t="n">
        <x:v>4</x:v>
      </x:c>
      <x:c r="O155" s="15" t="str">
        <x:v>ABIERTA</x:v>
      </x:c>
      <x:c r="P155" s="15" t="str">
        <x:v>Lino liviano DEMO</x:v>
      </x:c>
      <x:c r="Q155" s="15" t="str">
        <x:v>LIVIANO</x:v>
      </x:c>
      <x:c r="R155" s="15" t="str">
        <x:v>m² simulado</x:v>
      </x:c>
      <x:c r="S155" s="15" t="n">
        <x:v>1.12</x:v>
      </x:c>
      <x:c r="T155" s="15" t="n">
        <x:v>26.88</x:v>
      </x:c>
      <x:c r="U155" s="15" t="n">
        <x:v>28</x:v>
      </x:c>
      <x:c r="V155" s="15" t="n">
        <x:v>0</x:v>
      </x:c>
      <x:c r="W155" s="15" t="str">
        <x:v>SUFICIENTE_EN_ESCENARIO</x:v>
      </x:c>
      <x:c r="X155" s="15" t="n">
        <x:v>108</x:v>
      </x:c>
      <x:c r="Y155" s="15" t="n">
        <x:v>2592</x:v>
      </x:c>
      <x:c r="Z155" s="15" t="n">
        <x:v>204.77</x:v>
      </x:c>
      <x:c r="AA155" s="28" t="n">
        <x:v>2387.23</x:v>
      </x:c>
      <x:c r="AB155" s="15" t="n">
        <x:v>22</x:v>
      </x:c>
      <x:c r="AC155" s="28" t="n">
        <x:v>591.36</x:v>
      </x:c>
      <x:c r="AD155" s="28" t="n">
        <x:v>1795.87</x:v>
      </x:c>
      <x:c r="AE155" s="15" t="str">
        <x:v>REVISAR_DATOS</x:v>
      </x:c>
      <x:c r="AF155" s="15" t="str">
        <x:v>true</x:v>
      </x:c>
    </x:row>
    <x:row r="156">
      <x:c r="A156" s="15" t="str">
        <x:v>SYN-155</x:v>
      </x:c>
      <x:c r="B156" s="15" t="str">
        <x:v>Toldos</x:v>
      </x:c>
      <x:c r="C156" s="15" t="n">
        <x:v>16.72</x:v>
      </x:c>
      <x:c r="D156" s="15" t="n">
        <x:v>1</x:v>
      </x:c>
      <x:c r="E156" s="15" t="n">
        <x:v>1</x:v>
      </x:c>
      <x:c r="F156" s="15" t="n">
        <x:v>29</x:v>
      </x:c>
      <x:c r="G156" s="15" t="n">
        <x:v>61</x:v>
      </x:c>
      <x:c r="H156" s="15" t="n">
        <x:v>18</x:v>
      </x:c>
      <x:c r="I156" s="15" t="str">
        <x:v>NO_CONCRETADA</x:v>
      </x:c>
      <x:c r="J156" s="15" t="n">
        <x:v>0</x:v>
      </x:c>
      <x:c r="K156" s="15" t="str">
        <x:v>true</x:v>
      </x:c>
      <x:c r="L156" s="15" t="n">
        <x:v>1346.37</x:v>
      </x:c>
      <x:c r="M156" s="15" t="n">
        <x:v>2</x:v>
      </x:c>
      <x:c r="N156" s="15" t="n">
        <x:v>2</x:v>
      </x:c>
      <x:c r="O156" s="15" t="str">
        <x:v>NO_APLICA</x:v>
      </x:c>
      <x:c r="P156" s="15" t="str">
        <x:v>Lona orillo rojo DEMO</x:v>
      </x:c>
      <x:c r="Q156" s="15" t="str">
        <x:v>ESTANDAR</x:v>
      </x:c>
      <x:c r="R156" s="15" t="str">
        <x:v>m² simulado</x:v>
      </x:c>
      <x:c r="S156" s="15" t="n">
        <x:v>1.1</x:v>
      </x:c>
      <x:c r="T156" s="15" t="n">
        <x:v>4.4</x:v>
      </x:c>
      <x:c r="U156" s="15" t="n">
        <x:v>18</x:v>
      </x:c>
      <x:c r="V156" s="15" t="n">
        <x:v>0</x:v>
      </x:c>
      <x:c r="W156" s="15" t="str">
        <x:v>SUFICIENTE_EN_ESCENARIO</x:v>
      </x:c>
      <x:c r="X156" s="15" t="n">
        <x:v>122</x:v>
      </x:c>
      <x:c r="Y156" s="15" t="n">
        <x:v>488</x:v>
      </x:c>
      <x:c r="Z156" s="15" t="n">
        <x:v>81.59</x:v>
      </x:c>
      <x:c r="AA156" s="28" t="n">
        <x:v>406.41</x:v>
      </x:c>
      <x:c r="AB156" s="15" t="n">
        <x:v>26</x:v>
      </x:c>
      <x:c r="AC156" s="28" t="n">
        <x:v>114.4</x:v>
      </x:c>
      <x:c r="AD156" s="28" t="n">
        <x:v>292.01</x:v>
      </x:c>
      <x:c r="AE156" s="15" t="str">
        <x:v>FACTIBLE_CON_REGLAS_SINTETICAS</x:v>
      </x:c>
      <x:c r="AF156" s="15" t="str">
        <x:v>true</x:v>
      </x:c>
    </x:row>
    <x:row r="157">
      <x:c r="A157" s="15" t="str">
        <x:v>SYN-156</x:v>
      </x:c>
      <x:c r="B157" s="15" t="str">
        <x:v>Tapizado de moto</x:v>
      </x:c>
      <x:c r="C157" s="15" t="n">
        <x:v>4.26</x:v>
      </x:c>
      <x:c r="D157" s="15" t="n">
        <x:v>0</x:v>
      </x:c>
      <x:c r="E157" s="15" t="n">
        <x:v>0</x:v>
      </x:c>
      <x:c r="F157" s="15" t="n">
        <x:v>72</x:v>
      </x:c>
      <x:c r="G157" s="15" t="n">
        <x:v>79</x:v>
      </x:c>
      <x:c r="H157" s="15" t="n">
        <x:v>12</x:v>
      </x:c>
      <x:c r="I157" s="15" t="str">
        <x:v>NO_CONCRETADA</x:v>
      </x:c>
      <x:c r="J157" s="15" t="n">
        <x:v>0</x:v>
      </x:c>
      <x:c r="K157" s="15" t="str">
        <x:v>true</x:v>
      </x:c>
      <x:c r="L157" s="15" t="n">
        <x:v>4038.78</x:v>
      </x:c>
      <x:c r="M157" s="15" t="n">
        <x:v>3</x:v>
      </x:c>
      <x:c r="N157" s="15" t="n">
        <x:v>2</x:v>
      </x:c>
      <x:c r="O157" s="15" t="str">
        <x:v>NO_APLICA</x:v>
      </x:c>
      <x:c r="P157" s="15" t="str">
        <x:v>Oxford DEMO</x:v>
      </x:c>
      <x:c r="Q157" s="15" t="str">
        <x:v>NO_APLICA</x:v>
      </x:c>
      <x:c r="R157" s="15" t="str">
        <x:v>m² equivalente DEMO</x:v>
      </x:c>
      <x:c r="S157" s="15" t="n">
        <x:v>0.55</x:v>
      </x:c>
      <x:c r="T157" s="15" t="n">
        <x:v>3.3</x:v>
      </x:c>
      <x:c r="U157" s="15" t="n">
        <x:v>9</x:v>
      </x:c>
      <x:c r="V157" s="15" t="n">
        <x:v>0</x:v>
      </x:c>
      <x:c r="W157" s="15" t="str">
        <x:v>SUFICIENTE_EN_ESCENARIO</x:v>
      </x:c>
      <x:c r="X157" s="15" t="n">
        <x:v>155</x:v>
      </x:c>
      <x:c r="Y157" s="15" t="n">
        <x:v>930</x:v>
      </x:c>
      <x:c r="Z157" s="15" t="n">
        <x:v>39.62</x:v>
      </x:c>
      <x:c r="AA157" s="28" t="n">
        <x:v>890.38</x:v>
      </x:c>
      <x:c r="AB157" s="15" t="n">
        <x:v>38</x:v>
      </x:c>
      <x:c r="AC157" s="28" t="n">
        <x:v>125.4</x:v>
      </x:c>
      <x:c r="AD157" s="28" t="n">
        <x:v>764.98</x:v>
      </x:c>
      <x:c r="AE157" s="15" t="str">
        <x:v>REVISAR_DATOS</x:v>
      </x:c>
      <x:c r="AF157" s="15" t="str">
        <x:v>true</x:v>
      </x:c>
    </x:row>
    <x:row r="158">
      <x:c r="A158" s="15" t="str">
        <x:v>SYN-157</x:v>
      </x:c>
      <x:c r="B158" s="15" t="str">
        <x:v>Carpas</x:v>
      </x:c>
      <x:c r="C158" s="15" t="n">
        <x:v>7.51</x:v>
      </x:c>
      <x:c r="D158" s="15" t="n">
        <x:v>0</x:v>
      </x:c>
      <x:c r="E158" s="15" t="n">
        <x:v>0</x:v>
      </x:c>
      <x:c r="F158" s="15" t="n">
        <x:v>35</x:v>
      </x:c>
      <x:c r="G158" s="15" t="n">
        <x:v>3</x:v>
      </x:c>
      <x:c r="H158" s="15" t="n">
        <x:v>1</x:v>
      </x:c>
      <x:c r="I158" s="15" t="str">
        <x:v>NO_CONCRETADA</x:v>
      </x:c>
      <x:c r="J158" s="15" t="n">
        <x:v>0</x:v>
      </x:c>
      <x:c r="K158" s="15" t="str">
        <x:v>true</x:v>
      </x:c>
      <x:c r="L158" s="15" t="n">
        <x:v>6023.81</x:v>
      </x:c>
      <x:c r="M158" s="15" t="n">
        <x:v>6</x:v>
      </x:c>
      <x:c r="N158" s="15" t="n">
        <x:v>4</x:v>
      </x:c>
      <x:c r="O158" s="15" t="str">
        <x:v>CERRADA</x:v>
      </x:c>
      <x:c r="P158" s="15" t="str">
        <x:v>Lino pesado DEMO</x:v>
      </x:c>
      <x:c r="Q158" s="15" t="str">
        <x:v>PESADO</x:v>
      </x:c>
      <x:c r="R158" s="15" t="str">
        <x:v>m² simulado</x:v>
      </x:c>
      <x:c r="S158" s="15" t="n">
        <x:v>1.55</x:v>
      </x:c>
      <x:c r="T158" s="15" t="n">
        <x:v>37.2</x:v>
      </x:c>
      <x:c r="U158" s="15" t="n">
        <x:v>20</x:v>
      </x:c>
      <x:c r="V158" s="15" t="n">
        <x:v>17.2</x:v>
      </x:c>
      <x:c r="W158" s="15" t="str">
        <x:v>FALTANTE_EN_ESCENARIO</x:v>
      </x:c>
      <x:c r="X158" s="15" t="n">
        <x:v>125</x:v>
      </x:c>
      <x:c r="Y158" s="15" t="n">
        <x:v>4050</x:v>
      </x:c>
      <x:c r="Z158" s="15" t="n">
        <x:v>304.16</x:v>
      </x:c>
      <x:c r="AA158" s="28" t="n">
        <x:v>3745.85</x:v>
      </x:c>
      <x:c r="AB158" s="15" t="n">
        <x:v>29</x:v>
      </x:c>
      <x:c r="AC158" s="28" t="n">
        <x:v>1078.8</x:v>
      </x:c>
      <x:c r="AD158" s="28" t="n">
        <x:v>2667.05</x:v>
      </x:c>
      <x:c r="AE158" s="15" t="str">
        <x:v>REVISAR_DATOS</x:v>
      </x:c>
      <x:c r="AF158" s="15" t="str">
        <x:v>true</x:v>
      </x:c>
    </x:row>
    <x:row r="159">
      <x:c r="A159" s="15" t="str">
        <x:v>SYN-158</x:v>
      </x:c>
      <x:c r="B159" s="15" t="str">
        <x:v>Toldos</x:v>
      </x:c>
      <x:c r="C159" s="15" t="n">
        <x:v>2.44</x:v>
      </x:c>
      <x:c r="D159" s="15" t="n">
        <x:v>1</x:v>
      </x:c>
      <x:c r="E159" s="15" t="n">
        <x:v>0</x:v>
      </x:c>
      <x:c r="F159" s="15" t="n">
        <x:v>51</x:v>
      </x:c>
      <x:c r="G159" s="15" t="n">
        <x:v>73</x:v>
      </x:c>
      <x:c r="H159" s="15" t="n">
        <x:v>15</x:v>
      </x:c>
      <x:c r="I159" s="15" t="str">
        <x:v>NO_CONCRETADA</x:v>
      </x:c>
      <x:c r="J159" s="15" t="n">
        <x:v>0</x:v>
      </x:c>
      <x:c r="K159" s="15" t="str">
        <x:v>true</x:v>
      </x:c>
      <x:c r="L159" s="15" t="n">
        <x:v>6775.92</x:v>
      </x:c>
      <x:c r="M159" s="15" t="n">
        <x:v>4</x:v>
      </x:c>
      <x:c r="N159" s="15" t="n">
        <x:v>3</x:v>
      </x:c>
      <x:c r="O159" s="15" t="str">
        <x:v>NO_APLICA</x:v>
      </x:c>
      <x:c r="P159" s="15" t="str">
        <x:v>Lona orillo rojo DEMO</x:v>
      </x:c>
      <x:c r="Q159" s="15" t="str">
        <x:v>ESTANDAR</x:v>
      </x:c>
      <x:c r="R159" s="15" t="str">
        <x:v>m² simulado</x:v>
      </x:c>
      <x:c r="S159" s="15" t="n">
        <x:v>1.1</x:v>
      </x:c>
      <x:c r="T159" s="15" t="n">
        <x:v>13.2</x:v>
      </x:c>
      <x:c r="U159" s="15" t="n">
        <x:v>18</x:v>
      </x:c>
      <x:c r="V159" s="15" t="n">
        <x:v>0</x:v>
      </x:c>
      <x:c r="W159" s="15" t="str">
        <x:v>SUFICIENTE_EN_ESCENARIO</x:v>
      </x:c>
      <x:c r="X159" s="15" t="n">
        <x:v>122</x:v>
      </x:c>
      <x:c r="Y159" s="15" t="n">
        <x:v>1464</x:v>
      </x:c>
      <x:c r="Z159" s="15" t="n">
        <x:v>35.72</x:v>
      </x:c>
      <x:c r="AA159" s="28" t="n">
        <x:v>1428.28</x:v>
      </x:c>
      <x:c r="AB159" s="15" t="n">
        <x:v>26</x:v>
      </x:c>
      <x:c r="AC159" s="28" t="n">
        <x:v>343.2</x:v>
      </x:c>
      <x:c r="AD159" s="28" t="n">
        <x:v>1085.08</x:v>
      </x:c>
      <x:c r="AE159" s="15" t="str">
        <x:v>FACTIBLE_CON_REGLAS_SINTETICAS</x:v>
      </x:c>
      <x:c r="AF159" s="15" t="str">
        <x:v>true</x:v>
      </x:c>
    </x:row>
    <x:row r="160">
      <x:c r="A160" s="15" t="str">
        <x:v>SYN-159</x:v>
      </x:c>
      <x:c r="B160" s="15" t="str">
        <x:v>Tapizado de moto</x:v>
      </x:c>
      <x:c r="C160" s="15" t="n">
        <x:v>15.45</x:v>
      </x:c>
      <x:c r="D160" s="15" t="n">
        <x:v>1</x:v>
      </x:c>
      <x:c r="E160" s="15" t="n">
        <x:v>1</x:v>
      </x:c>
      <x:c r="F160" s="15" t="n">
        <x:v>46</x:v>
      </x:c>
      <x:c r="G160" s="15" t="n">
        <x:v>65</x:v>
      </x:c>
      <x:c r="H160" s="15" t="n">
        <x:v>6</x:v>
      </x:c>
      <x:c r="I160" s="15" t="str">
        <x:v>NO_CONCRETADA</x:v>
      </x:c>
      <x:c r="J160" s="15" t="n">
        <x:v>0</x:v>
      </x:c>
      <x:c r="K160" s="15" t="str">
        <x:v>true</x:v>
      </x:c>
      <x:c r="L160" s="15" t="n">
        <x:v>7959.8</x:v>
      </x:c>
      <x:c r="M160" s="15" t="n">
        <x:v>4</x:v>
      </x:c>
      <x:c r="N160" s="15" t="n">
        <x:v>3</x:v>
      </x:c>
      <x:c r="O160" s="15" t="str">
        <x:v>NO_APLICA</x:v>
      </x:c>
      <x:c r="P160" s="15" t="str">
        <x:v>Oxford DEMO</x:v>
      </x:c>
      <x:c r="Q160" s="15" t="str">
        <x:v>NO_APLICA</x:v>
      </x:c>
      <x:c r="R160" s="15" t="str">
        <x:v>m² equivalente DEMO</x:v>
      </x:c>
      <x:c r="S160" s="15" t="n">
        <x:v>0.55</x:v>
      </x:c>
      <x:c r="T160" s="15" t="n">
        <x:v>6.6</x:v>
      </x:c>
      <x:c r="U160" s="15" t="n">
        <x:v>9</x:v>
      </x:c>
      <x:c r="V160" s="15" t="n">
        <x:v>0</x:v>
      </x:c>
      <x:c r="W160" s="15" t="str">
        <x:v>SUFICIENTE_EN_ESCENARIO</x:v>
      </x:c>
      <x:c r="X160" s="15" t="n">
        <x:v>155</x:v>
      </x:c>
      <x:c r="Y160" s="15" t="n">
        <x:v>1860</x:v>
      </x:c>
      <x:c r="Z160" s="15" t="n">
        <x:v>287.37</x:v>
      </x:c>
      <x:c r="AA160" s="28" t="n">
        <x:v>1572.63</x:v>
      </x:c>
      <x:c r="AB160" s="15" t="n">
        <x:v>38</x:v>
      </x:c>
      <x:c r="AC160" s="28" t="n">
        <x:v>250.8</x:v>
      </x:c>
      <x:c r="AD160" s="28" t="n">
        <x:v>1321.83</x:v>
      </x:c>
      <x:c r="AE160" s="15" t="str">
        <x:v>FACTIBLE_CON_REGLAS_SINTETICAS</x:v>
      </x:c>
      <x:c r="AF160" s="15" t="str">
        <x:v>true</x:v>
      </x:c>
    </x:row>
    <x:row r="161">
      <x:c r="A161" s="15" t="str">
        <x:v>SYN-160</x:v>
      </x:c>
      <x:c r="B161" s="15" t="str">
        <x:v>Carpas</x:v>
      </x:c>
      <x:c r="C161" s="15" t="n">
        <x:v>19.72</x:v>
      </x:c>
      <x:c r="D161" s="15" t="n">
        <x:v>1</x:v>
      </x:c>
      <x:c r="E161" s="15" t="n">
        <x:v>1</x:v>
      </x:c>
      <x:c r="F161" s="15" t="n">
        <x:v>65</x:v>
      </x:c>
      <x:c r="G161" s="15" t="n">
        <x:v>58</x:v>
      </x:c>
      <x:c r="H161" s="15" t="n">
        <x:v>1</x:v>
      </x:c>
      <x:c r="I161" s="15" t="str">
        <x:v>NO_CONCRETADA</x:v>
      </x:c>
      <x:c r="J161" s="15" t="n">
        <x:v>0</x:v>
      </x:c>
      <x:c r="K161" s="15" t="str">
        <x:v>true</x:v>
      </x:c>
      <x:c r="L161" s="15" t="n">
        <x:v>6402.96</x:v>
      </x:c>
      <x:c r="M161" s="15" t="n">
        <x:v>6</x:v>
      </x:c>
      <x:c r="N161" s="15" t="n">
        <x:v>4</x:v>
      </x:c>
      <x:c r="O161" s="15" t="str">
        <x:v>CERRADA</x:v>
      </x:c>
      <x:c r="P161" s="15" t="str">
        <x:v>Lino económico DEMO</x:v>
      </x:c>
      <x:c r="Q161" s="15" t="str">
        <x:v>ECONOMICO</x:v>
      </x:c>
      <x:c r="R161" s="15" t="str">
        <x:v>m² simulado</x:v>
      </x:c>
      <x:c r="S161" s="15" t="n">
        <x:v>1.55</x:v>
      </x:c>
      <x:c r="T161" s="15" t="n">
        <x:v>37.2</x:v>
      </x:c>
      <x:c r="U161" s="15" t="n">
        <x:v>32</x:v>
      </x:c>
      <x:c r="V161" s="15" t="n">
        <x:v>5.2</x:v>
      </x:c>
      <x:c r="W161" s="15" t="str">
        <x:v>FALTANTE_EN_ESCENARIO</x:v>
      </x:c>
      <x:c r="X161" s="15" t="n">
        <x:v>95</x:v>
      </x:c>
      <x:c r="Y161" s="15" t="n">
        <x:v>3078</x:v>
      </x:c>
      <x:c r="Z161" s="15" t="n">
        <x:v>606.98</x:v>
      </x:c>
      <x:c r="AA161" s="28" t="n">
        <x:v>2471.02</x:v>
      </x:c>
      <x:c r="AB161" s="15" t="n">
        <x:v>18</x:v>
      </x:c>
      <x:c r="AC161" s="28" t="n">
        <x:v>669.6</x:v>
      </x:c>
      <x:c r="AD161" s="28" t="n">
        <x:v>1801.42</x:v>
      </x:c>
      <x:c r="AE161" s="15" t="str">
        <x:v>FALTA_STOCK</x:v>
      </x:c>
      <x:c r="AF161" s="15" t="str">
        <x:v>true</x:v>
      </x:c>
    </x:row>
    <x:row r="162">
      <x:c r="A162" s="15" t="str">
        <x:v>SYN-161</x:v>
      </x:c>
      <x:c r="B162" s="15" t="str">
        <x:v>Toldos</x:v>
      </x:c>
      <x:c r="C162" s="15" t="n">
        <x:v>8.54</x:v>
      </x:c>
      <x:c r="D162" s="15" t="n">
        <x:v>1</x:v>
      </x:c>
      <x:c r="E162" s="15" t="n">
        <x:v>1</x:v>
      </x:c>
      <x:c r="F162" s="15" t="n">
        <x:v>57</x:v>
      </x:c>
      <x:c r="G162" s="15" t="n">
        <x:v>83</x:v>
      </x:c>
      <x:c r="H162" s="15" t="n">
        <x:v>9</x:v>
      </x:c>
      <x:c r="I162" s="15" t="str">
        <x:v>NO_CONCRETADA</x:v>
      </x:c>
      <x:c r="J162" s="15" t="n">
        <x:v>0</x:v>
      </x:c>
      <x:c r="K162" s="15" t="str">
        <x:v>true</x:v>
      </x:c>
      <x:c r="L162" s="15" t="n">
        <x:v>6812.78</x:v>
      </x:c>
      <x:c r="M162" s="15" t="n">
        <x:v>5</x:v>
      </x:c>
      <x:c r="N162" s="15" t="n">
        <x:v>4</x:v>
      </x:c>
      <x:c r="O162" s="15" t="str">
        <x:v>NO_APLICA</x:v>
      </x:c>
      <x:c r="P162" s="15" t="str">
        <x:v>Lona orillo rojo DEMO</x:v>
      </x:c>
      <x:c r="Q162" s="15" t="str">
        <x:v>ESTANDAR</x:v>
      </x:c>
      <x:c r="R162" s="15" t="str">
        <x:v>m² simulado</x:v>
      </x:c>
      <x:c r="S162" s="15" t="n">
        <x:v>1.1</x:v>
      </x:c>
      <x:c r="T162" s="15" t="n">
        <x:v>22</x:v>
      </x:c>
      <x:c r="U162" s="15" t="n">
        <x:v>18</x:v>
      </x:c>
      <x:c r="V162" s="15" t="n">
        <x:v>4</x:v>
      </x:c>
      <x:c r="W162" s="15" t="str">
        <x:v>FALTANTE_EN_ESCENARIO</x:v>
      </x:c>
      <x:c r="X162" s="15" t="n">
        <x:v>122</x:v>
      </x:c>
      <x:c r="Y162" s="15" t="n">
        <x:v>2440</x:v>
      </x:c>
      <x:c r="Z162" s="15" t="n">
        <x:v>208.38</x:v>
      </x:c>
      <x:c r="AA162" s="28" t="n">
        <x:v>2231.62</x:v>
      </x:c>
      <x:c r="AB162" s="15" t="n">
        <x:v>26</x:v>
      </x:c>
      <x:c r="AC162" s="28" t="n">
        <x:v>572</x:v>
      </x:c>
      <x:c r="AD162" s="28" t="n">
        <x:v>1659.62</x:v>
      </x:c>
      <x:c r="AE162" s="15" t="str">
        <x:v>FALTA_STOCK</x:v>
      </x:c>
      <x:c r="AF162" s="15" t="str">
        <x:v>true</x:v>
      </x:c>
    </x:row>
    <x:row r="163">
      <x:c r="A163" s="15" t="str">
        <x:v>SYN-162</x:v>
      </x:c>
      <x:c r="B163" s="15" t="str">
        <x:v>Tapizado de moto</x:v>
      </x:c>
      <x:c r="C163" s="15" t="n">
        <x:v>10.11</x:v>
      </x:c>
      <x:c r="D163" s="15" t="n">
        <x:v>1</x:v>
      </x:c>
      <x:c r="E163" s="15" t="n">
        <x:v>0</x:v>
      </x:c>
      <x:c r="F163" s="15" t="n">
        <x:v>25</x:v>
      </x:c>
      <x:c r="G163" s="15" t="n">
        <x:v>62</x:v>
      </x:c>
      <x:c r="H163" s="15" t="n">
        <x:v>13</x:v>
      </x:c>
      <x:c r="I163" s="15" t="str">
        <x:v>CONCRETADA</x:v>
      </x:c>
      <x:c r="J163" s="15" t="n">
        <x:v>1</x:v>
      </x:c>
      <x:c r="K163" s="15" t="str">
        <x:v>true</x:v>
      </x:c>
      <x:c r="L163" s="15" t="n">
        <x:v>379.67</x:v>
      </x:c>
      <x:c r="M163" s="15" t="n">
        <x:v>3</x:v>
      </x:c>
      <x:c r="N163" s="15" t="n">
        <x:v>3</x:v>
      </x:c>
      <x:c r="O163" s="15" t="str">
        <x:v>NO_APLICA</x:v>
      </x:c>
      <x:c r="P163" s="15" t="str">
        <x:v>Oxford DEMO</x:v>
      </x:c>
      <x:c r="Q163" s="15" t="str">
        <x:v>NO_APLICA</x:v>
      </x:c>
      <x:c r="R163" s="15" t="str">
        <x:v>m² equivalente DEMO</x:v>
      </x:c>
      <x:c r="S163" s="15" t="n">
        <x:v>0.55</x:v>
      </x:c>
      <x:c r="T163" s="15" t="n">
        <x:v>4.95</x:v>
      </x:c>
      <x:c r="U163" s="15" t="n">
        <x:v>9</x:v>
      </x:c>
      <x:c r="V163" s="15" t="n">
        <x:v>0</x:v>
      </x:c>
      <x:c r="W163" s="15" t="str">
        <x:v>SUFICIENTE_EN_ESCENARIO</x:v>
      </x:c>
      <x:c r="X163" s="15" t="n">
        <x:v>155</x:v>
      </x:c>
      <x:c r="Y163" s="15" t="n">
        <x:v>1395</x:v>
      </x:c>
      <x:c r="Z163" s="15" t="n">
        <x:v>141.03</x:v>
      </x:c>
      <x:c r="AA163" s="28" t="n">
        <x:v>1253.97</x:v>
      </x:c>
      <x:c r="AB163" s="15" t="n">
        <x:v>38</x:v>
      </x:c>
      <x:c r="AC163" s="28" t="n">
        <x:v>188.1</x:v>
      </x:c>
      <x:c r="AD163" s="28" t="n">
        <x:v>1065.87</x:v>
      </x:c>
      <x:c r="AE163" s="15" t="str">
        <x:v>FACTIBLE_CON_REGLAS_SINTETICAS</x:v>
      </x:c>
      <x:c r="AF163" s="15" t="str">
        <x:v>true</x:v>
      </x:c>
    </x:row>
    <x:row r="164">
      <x:c r="A164" s="15" t="str">
        <x:v>SYN-163</x:v>
      </x:c>
      <x:c r="B164" s="15" t="str">
        <x:v>Carpas</x:v>
      </x:c>
      <x:c r="C164" s="15" t="n">
        <x:v>19.29</x:v>
      </x:c>
      <x:c r="D164" s="15" t="n">
        <x:v>1</x:v>
      </x:c>
      <x:c r="E164" s="15" t="n">
        <x:v>1</x:v>
      </x:c>
      <x:c r="F164" s="15" t="n">
        <x:v>55</x:v>
      </x:c>
      <x:c r="G164" s="15" t="n">
        <x:v>26</x:v>
      </x:c>
      <x:c r="H164" s="15" t="n">
        <x:v>20</x:v>
      </x:c>
      <x:c r="I164" s="15" t="str">
        <x:v>NO_CONCRETADA</x:v>
      </x:c>
      <x:c r="J164" s="15" t="n">
        <x:v>0</x:v>
      </x:c>
      <x:c r="K164" s="15" t="str">
        <x:v>true</x:v>
      </x:c>
      <x:c r="L164" s="15" t="n">
        <x:v>5236.8</x:v>
      </x:c>
      <x:c r="M164" s="15" t="n">
        <x:v>3</x:v>
      </x:c>
      <x:c r="N164" s="15" t="n">
        <x:v>3</x:v>
      </x:c>
      <x:c r="O164" s="15" t="str">
        <x:v>ABIERTA</x:v>
      </x:c>
      <x:c r="P164" s="15" t="str">
        <x:v>Lino pesado DEMO</x:v>
      </x:c>
      <x:c r="Q164" s="15" t="str">
        <x:v>PESADO</x:v>
      </x:c>
      <x:c r="R164" s="15" t="str">
        <x:v>m² simulado</x:v>
      </x:c>
      <x:c r="S164" s="15" t="n">
        <x:v>1.12</x:v>
      </x:c>
      <x:c r="T164" s="15" t="n">
        <x:v>10.08</x:v>
      </x:c>
      <x:c r="U164" s="15" t="n">
        <x:v>20</x:v>
      </x:c>
      <x:c r="V164" s="15" t="n">
        <x:v>0</x:v>
      </x:c>
      <x:c r="W164" s="15" t="str">
        <x:v>SUFICIENTE_EN_ESCENARIO</x:v>
      </x:c>
      <x:c r="X164" s="15" t="n">
        <x:v>125</x:v>
      </x:c>
      <x:c r="Y164" s="15" t="n">
        <x:v>1125</x:v>
      </x:c>
      <x:c r="Z164" s="15" t="n">
        <x:v>217.01</x:v>
      </x:c>
      <x:c r="AA164" s="28" t="n">
        <x:v>907.99</x:v>
      </x:c>
      <x:c r="AB164" s="15" t="n">
        <x:v>29</x:v>
      </x:c>
      <x:c r="AC164" s="28" t="n">
        <x:v>292.32</x:v>
      </x:c>
      <x:c r="AD164" s="28" t="n">
        <x:v>615.67</x:v>
      </x:c>
      <x:c r="AE164" s="15" t="str">
        <x:v>FACTIBLE_CON_REGLAS_SINTETICAS</x:v>
      </x:c>
      <x:c r="AF164" s="15" t="str">
        <x:v>true</x:v>
      </x:c>
    </x:row>
    <x:row r="165">
      <x:c r="A165" s="15" t="str">
        <x:v>SYN-164</x:v>
      </x:c>
      <x:c r="B165" s="15" t="str">
        <x:v>Toldos</x:v>
      </x:c>
      <x:c r="C165" s="15" t="n">
        <x:v>17.73</x:v>
      </x:c>
      <x:c r="D165" s="15" t="n">
        <x:v>1</x:v>
      </x:c>
      <x:c r="E165" s="15" t="n">
        <x:v>1</x:v>
      </x:c>
      <x:c r="F165" s="15" t="n">
        <x:v>46</x:v>
      </x:c>
      <x:c r="G165" s="15" t="n">
        <x:v>54</x:v>
      </x:c>
      <x:c r="H165" s="15" t="n">
        <x:v>5</x:v>
      </x:c>
      <x:c r="I165" s="15" t="str">
        <x:v>CONCRETADA</x:v>
      </x:c>
      <x:c r="J165" s="15" t="n">
        <x:v>1</x:v>
      </x:c>
      <x:c r="K165" s="15" t="str">
        <x:v>true</x:v>
      </x:c>
      <x:c r="L165" s="15" t="n">
        <x:v>3389.59</x:v>
      </x:c>
      <x:c r="M165" s="15" t="n">
        <x:v>6</x:v>
      </x:c>
      <x:c r="N165" s="15" t="n">
        <x:v>4</x:v>
      </x:c>
      <x:c r="O165" s="15" t="str">
        <x:v>NO_APLICA</x:v>
      </x:c>
      <x:c r="P165" s="15" t="str">
        <x:v>Tarflex DEMO</x:v>
      </x:c>
      <x:c r="Q165" s="15" t="str">
        <x:v>ESTANDAR</x:v>
      </x:c>
      <x:c r="R165" s="15" t="str">
        <x:v>m² simulado</x:v>
      </x:c>
      <x:c r="S165" s="15" t="n">
        <x:v>1.1</x:v>
      </x:c>
      <x:c r="T165" s="15" t="n">
        <x:v>26.4</x:v>
      </x:c>
      <x:c r="U165" s="15" t="n">
        <x:v>24</x:v>
      </x:c>
      <x:c r="V165" s="15" t="n">
        <x:v>2.4</x:v>
      </x:c>
      <x:c r="W165" s="15" t="str">
        <x:v>FALTANTE_EN_ESCENARIO</x:v>
      </x:c>
      <x:c r="X165" s="15" t="n">
        <x:v>112</x:v>
      </x:c>
      <x:c r="Y165" s="15" t="n">
        <x:v>2688</x:v>
      </x:c>
      <x:c r="Z165" s="15" t="n">
        <x:v>476.58</x:v>
      </x:c>
      <x:c r="AA165" s="28" t="n">
        <x:v>2211.42</x:v>
      </x:c>
      <x:c r="AB165" s="15" t="n">
        <x:v>23</x:v>
      </x:c>
      <x:c r="AC165" s="28" t="n">
        <x:v>607.2</x:v>
      </x:c>
      <x:c r="AD165" s="28" t="n">
        <x:v>1604.22</x:v>
      </x:c>
      <x:c r="AE165" s="15" t="str">
        <x:v>FALTA_STOCK</x:v>
      </x:c>
      <x:c r="AF165" s="15" t="str">
        <x:v>true</x:v>
      </x:c>
    </x:row>
    <x:row r="166">
      <x:c r="A166" s="15" t="str">
        <x:v>SYN-165</x:v>
      </x:c>
      <x:c r="B166" s="15" t="str">
        <x:v>Tapizado de moto</x:v>
      </x:c>
      <x:c r="C166" s="15" t="n">
        <x:v>4.76</x:v>
      </x:c>
      <x:c r="D166" s="15" t="n">
        <x:v>1</x:v>
      </x:c>
      <x:c r="E166" s="15" t="n">
        <x:v>1</x:v>
      </x:c>
      <x:c r="F166" s="15" t="n">
        <x:v>38</x:v>
      </x:c>
      <x:c r="G166" s="15" t="n">
        <x:v>25</x:v>
      </x:c>
      <x:c r="H166" s="15" t="n">
        <x:v>11</x:v>
      </x:c>
      <x:c r="I166" s="15" t="str">
        <x:v>NO_CONCRETADA</x:v>
      </x:c>
      <x:c r="J166" s="15" t="n">
        <x:v>0</x:v>
      </x:c>
      <x:c r="K166" s="15" t="str">
        <x:v>true</x:v>
      </x:c>
      <x:c r="L166" s="15" t="n">
        <x:v>4140.1</x:v>
      </x:c>
      <x:c r="M166" s="15" t="n">
        <x:v>6</x:v>
      </x:c>
      <x:c r="N166" s="15" t="n">
        <x:v>4</x:v>
      </x:c>
      <x:c r="O166" s="15" t="str">
        <x:v>NO_APLICA</x:v>
      </x:c>
      <x:c r="P166" s="15" t="str">
        <x:v>Oxford DEMO</x:v>
      </x:c>
      <x:c r="Q166" s="15" t="str">
        <x:v>NO_APLICA</x:v>
      </x:c>
      <x:c r="R166" s="15" t="str">
        <x:v>m² equivalente DEMO</x:v>
      </x:c>
      <x:c r="S166" s="15" t="n">
        <x:v>0.55</x:v>
      </x:c>
      <x:c r="T166" s="15" t="n">
        <x:v>13.2</x:v>
      </x:c>
      <x:c r="U166" s="15" t="n">
        <x:v>9</x:v>
      </x:c>
      <x:c r="V166" s="15" t="n">
        <x:v>4.2</x:v>
      </x:c>
      <x:c r="W166" s="15" t="str">
        <x:v>FALTANTE_EN_ESCENARIO</x:v>
      </x:c>
      <x:c r="X166" s="15" t="n">
        <x:v>155</x:v>
      </x:c>
      <x:c r="Y166" s="15" t="n">
        <x:v>3720</x:v>
      </x:c>
      <x:c r="Z166" s="15" t="n">
        <x:v>177.07</x:v>
      </x:c>
      <x:c r="AA166" s="28" t="n">
        <x:v>3542.93</x:v>
      </x:c>
      <x:c r="AB166" s="15" t="n">
        <x:v>38</x:v>
      </x:c>
      <x:c r="AC166" s="28" t="n">
        <x:v>501.6</x:v>
      </x:c>
      <x:c r="AD166" s="28" t="n">
        <x:v>3041.33</x:v>
      </x:c>
      <x:c r="AE166" s="15" t="str">
        <x:v>FALTA_STOCK</x:v>
      </x:c>
      <x:c r="AF166" s="15" t="str">
        <x:v>true</x:v>
      </x:c>
    </x:row>
    <x:row r="167">
      <x:c r="A167" s="15" t="str">
        <x:v>SYN-166</x:v>
      </x:c>
      <x:c r="B167" s="15" t="str">
        <x:v>Carpas</x:v>
      </x:c>
      <x:c r="C167" s="15" t="n">
        <x:v>17.36</x:v>
      </x:c>
      <x:c r="D167" s="15" t="n">
        <x:v>1</x:v>
      </x:c>
      <x:c r="E167" s="15" t="n">
        <x:v>1</x:v>
      </x:c>
      <x:c r="F167" s="15" t="n">
        <x:v>17</x:v>
      </x:c>
      <x:c r="G167" s="15" t="n">
        <x:v>2</x:v>
      </x:c>
      <x:c r="H167" s="15" t="n">
        <x:v>20</x:v>
      </x:c>
      <x:c r="I167" s="15" t="str">
        <x:v>CONCRETADA</x:v>
      </x:c>
      <x:c r="J167" s="15" t="n">
        <x:v>1</x:v>
      </x:c>
      <x:c r="K167" s="15" t="str">
        <x:v>true</x:v>
      </x:c>
      <x:c r="L167" s="15" t="n">
        <x:v>2198.8</x:v>
      </x:c>
      <x:c r="M167" s="15" t="n">
        <x:v>2</x:v>
      </x:c>
      <x:c r="N167" s="15" t="n">
        <x:v>2</x:v>
      </x:c>
      <x:c r="O167" s="15" t="str">
        <x:v>ABIERTA</x:v>
      </x:c>
      <x:c r="P167" s="15" t="str">
        <x:v>Lino liviano DEMO</x:v>
      </x:c>
      <x:c r="Q167" s="15" t="str">
        <x:v>LIVIANO</x:v>
      </x:c>
      <x:c r="R167" s="15" t="str">
        <x:v>m² simulado</x:v>
      </x:c>
      <x:c r="S167" s="15" t="n">
        <x:v>1.12</x:v>
      </x:c>
      <x:c r="T167" s="15" t="n">
        <x:v>4.48</x:v>
      </x:c>
      <x:c r="U167" s="15" t="n">
        <x:v>28</x:v>
      </x:c>
      <x:c r="V167" s="15" t="n">
        <x:v>0</x:v>
      </x:c>
      <x:c r="W167" s="15" t="str">
        <x:v>SUFICIENTE_EN_ESCENARIO</x:v>
      </x:c>
      <x:c r="X167" s="15" t="n">
        <x:v>108</x:v>
      </x:c>
      <x:c r="Y167" s="15" t="n">
        <x:v>432</x:v>
      </x:c>
      <x:c r="Z167" s="15" t="n">
        <x:v>75</x:v>
      </x:c>
      <x:c r="AA167" s="28" t="n">
        <x:v>357</x:v>
      </x:c>
      <x:c r="AB167" s="15" t="n">
        <x:v>22</x:v>
      </x:c>
      <x:c r="AC167" s="28" t="n">
        <x:v>98.56</x:v>
      </x:c>
      <x:c r="AD167" s="28" t="n">
        <x:v>258.44</x:v>
      </x:c>
      <x:c r="AE167" s="15" t="str">
        <x:v>FACTIBLE_CON_REGLAS_SINTETICAS</x:v>
      </x:c>
      <x:c r="AF167" s="15" t="str">
        <x:v>true</x:v>
      </x:c>
    </x:row>
    <x:row r="168">
      <x:c r="A168" s="15" t="str">
        <x:v>SYN-167</x:v>
      </x:c>
      <x:c r="B168" s="15" t="str">
        <x:v>Toldos</x:v>
      </x:c>
      <x:c r="C168" s="15" t="n">
        <x:v>8.78</x:v>
      </x:c>
      <x:c r="D168" s="15" t="n">
        <x:v>1</x:v>
      </x:c>
      <x:c r="E168" s="15" t="n">
        <x:v>1</x:v>
      </x:c>
      <x:c r="F168" s="15" t="n">
        <x:v>66</x:v>
      </x:c>
      <x:c r="G168" s="15" t="n">
        <x:v>54</x:v>
      </x:c>
      <x:c r="H168" s="15" t="n">
        <x:v>20</x:v>
      </x:c>
      <x:c r="I168" s="15" t="str">
        <x:v>NO_CONCRETADA</x:v>
      </x:c>
      <x:c r="J168" s="15" t="n">
        <x:v>0</x:v>
      </x:c>
      <x:c r="K168" s="15" t="str">
        <x:v>true</x:v>
      </x:c>
      <x:c r="L168" s="15" t="n">
        <x:v>5525.96</x:v>
      </x:c>
      <x:c r="M168" s="15" t="n">
        <x:v>6</x:v>
      </x:c>
      <x:c r="N168" s="15" t="n">
        <x:v>4</x:v>
      </x:c>
      <x:c r="O168" s="15" t="str">
        <x:v>NO_APLICA</x:v>
      </x:c>
      <x:c r="P168" s="15" t="str">
        <x:v>Lona orillo azul DEMO</x:v>
      </x:c>
      <x:c r="Q168" s="15" t="str">
        <x:v>ESTANDAR</x:v>
      </x:c>
      <x:c r="R168" s="15" t="str">
        <x:v>m² simulado</x:v>
      </x:c>
      <x:c r="S168" s="15" t="n">
        <x:v>1.1</x:v>
      </x:c>
      <x:c r="T168" s="15" t="n">
        <x:v>26.4</x:v>
      </x:c>
      <x:c r="U168" s="15" t="n">
        <x:v>22</x:v>
      </x:c>
      <x:c r="V168" s="15" t="n">
        <x:v>4.4</x:v>
      </x:c>
      <x:c r="W168" s="15" t="str">
        <x:v>FALTANTE_EN_ESCENARIO</x:v>
      </x:c>
      <x:c r="X168" s="15" t="n">
        <x:v>120</x:v>
      </x:c>
      <x:c r="Y168" s="15" t="n">
        <x:v>2880</x:v>
      </x:c>
      <x:c r="Z168" s="15" t="n">
        <x:v>252.86</x:v>
      </x:c>
      <x:c r="AA168" s="28" t="n">
        <x:v>2627.14</x:v>
      </x:c>
      <x:c r="AB168" s="15" t="n">
        <x:v>25</x:v>
      </x:c>
      <x:c r="AC168" s="28" t="n">
        <x:v>660</x:v>
      </x:c>
      <x:c r="AD168" s="28" t="n">
        <x:v>1967.14</x:v>
      </x:c>
      <x:c r="AE168" s="15" t="str">
        <x:v>FALTA_STOCK</x:v>
      </x:c>
      <x:c r="AF168" s="15" t="str">
        <x:v>true</x:v>
      </x:c>
    </x:row>
    <x:row r="169">
      <x:c r="A169" s="15" t="str">
        <x:v>SYN-168</x:v>
      </x:c>
      <x:c r="B169" s="15" t="str">
        <x:v>Tapizado de moto</x:v>
      </x:c>
      <x:c r="C169" s="15" t="n">
        <x:v>7</x:v>
      </x:c>
      <x:c r="D169" s="15" t="n">
        <x:v>1</x:v>
      </x:c>
      <x:c r="E169" s="15" t="n">
        <x:v>1</x:v>
      </x:c>
      <x:c r="F169" s="15" t="n">
        <x:v>12</x:v>
      </x:c>
      <x:c r="G169" s="15" t="n">
        <x:v>58</x:v>
      </x:c>
      <x:c r="H169" s="15" t="n">
        <x:v>14</x:v>
      </x:c>
      <x:c r="I169" s="15" t="str">
        <x:v>CONCRETADA</x:v>
      </x:c>
      <x:c r="J169" s="15" t="n">
        <x:v>1</x:v>
      </x:c>
      <x:c r="K169" s="15" t="str">
        <x:v>true</x:v>
      </x:c>
      <x:c r="L169" s="15" t="n">
        <x:v>2560.91</x:v>
      </x:c>
      <x:c r="M169" s="15" t="n">
        <x:v>3</x:v>
      </x:c>
      <x:c r="N169" s="15" t="n">
        <x:v>3</x:v>
      </x:c>
      <x:c r="O169" s="15" t="str">
        <x:v>NO_APLICA</x:v>
      </x:c>
      <x:c r="P169" s="15" t="str">
        <x:v>Oxford DEMO</x:v>
      </x:c>
      <x:c r="Q169" s="15" t="str">
        <x:v>NO_APLICA</x:v>
      </x:c>
      <x:c r="R169" s="15" t="str">
        <x:v>m² equivalente DEMO</x:v>
      </x:c>
      <x:c r="S169" s="15" t="n">
        <x:v>0.55</x:v>
      </x:c>
      <x:c r="T169" s="15" t="n">
        <x:v>4.95</x:v>
      </x:c>
      <x:c r="U169" s="15" t="n">
        <x:v>9</x:v>
      </x:c>
      <x:c r="V169" s="15" t="n">
        <x:v>0</x:v>
      </x:c>
      <x:c r="W169" s="15" t="str">
        <x:v>SUFICIENTE_EN_ESCENARIO</x:v>
      </x:c>
      <x:c r="X169" s="15" t="n">
        <x:v>155</x:v>
      </x:c>
      <x:c r="Y169" s="15" t="n">
        <x:v>1395</x:v>
      </x:c>
      <x:c r="Z169" s="15" t="n">
        <x:v>97.65</x:v>
      </x:c>
      <x:c r="AA169" s="28" t="n">
        <x:v>1297.35</x:v>
      </x:c>
      <x:c r="AB169" s="15" t="n">
        <x:v>38</x:v>
      </x:c>
      <x:c r="AC169" s="28" t="n">
        <x:v>188.1</x:v>
      </x:c>
      <x:c r="AD169" s="28" t="n">
        <x:v>1109.25</x:v>
      </x:c>
      <x:c r="AE169" s="15" t="str">
        <x:v>FACTIBLE_CON_REGLAS_SINTETICAS</x:v>
      </x:c>
      <x:c r="AF169" s="15" t="str">
        <x:v>true</x:v>
      </x:c>
    </x:row>
    <x:row r="170">
      <x:c r="A170" s="15" t="str">
        <x:v>SYN-169</x:v>
      </x:c>
      <x:c r="B170" s="15" t="str">
        <x:v>Carpas</x:v>
      </x:c>
      <x:c r="C170" s="15" t="n">
        <x:v>1.58</x:v>
      </x:c>
      <x:c r="D170" s="15" t="n">
        <x:v>1</x:v>
      </x:c>
      <x:c r="E170" s="15" t="n">
        <x:v>1</x:v>
      </x:c>
      <x:c r="F170" s="15" t="n">
        <x:v>47</x:v>
      </x:c>
      <x:c r="G170" s="15" t="n">
        <x:v>22</x:v>
      </x:c>
      <x:c r="H170" s="15" t="n">
        <x:v>11</x:v>
      </x:c>
      <x:c r="I170" s="15" t="str">
        <x:v>CONCRETADA</x:v>
      </x:c>
      <x:c r="J170" s="15" t="n">
        <x:v>1</x:v>
      </x:c>
      <x:c r="K170" s="15" t="str">
        <x:v>true</x:v>
      </x:c>
      <x:c r="L170" s="15" t="n">
        <x:v>4911.69</x:v>
      </x:c>
      <x:c r="M170" s="15" t="n">
        <x:v>4</x:v>
      </x:c>
      <x:c r="N170" s="15" t="n">
        <x:v>3</x:v>
      </x:c>
      <x:c r="O170" s="15" t="str">
        <x:v>ABIERTA</x:v>
      </x:c>
      <x:c r="P170" s="15" t="str">
        <x:v>Lino económico DEMO</x:v>
      </x:c>
      <x:c r="Q170" s="15" t="str">
        <x:v>ECONOMICO</x:v>
      </x:c>
      <x:c r="R170" s="15" t="str">
        <x:v>m² simulado</x:v>
      </x:c>
      <x:c r="S170" s="15" t="n">
        <x:v>1.12</x:v>
      </x:c>
      <x:c r="T170" s="15" t="n">
        <x:v>13.44</x:v>
      </x:c>
      <x:c r="U170" s="15" t="n">
        <x:v>32</x:v>
      </x:c>
      <x:c r="V170" s="15" t="n">
        <x:v>0</x:v>
      </x:c>
      <x:c r="W170" s="15" t="str">
        <x:v>SUFICIENTE_EN_ESCENARIO</x:v>
      </x:c>
      <x:c r="X170" s="15" t="n">
        <x:v>95</x:v>
      </x:c>
      <x:c r="Y170" s="15" t="n">
        <x:v>1140</x:v>
      </x:c>
      <x:c r="Z170" s="15" t="n">
        <x:v>18.01</x:v>
      </x:c>
      <x:c r="AA170" s="28" t="n">
        <x:v>1121.99</x:v>
      </x:c>
      <x:c r="AB170" s="15" t="n">
        <x:v>18</x:v>
      </x:c>
      <x:c r="AC170" s="28" t="n">
        <x:v>241.92</x:v>
      </x:c>
      <x:c r="AD170" s="28" t="n">
        <x:v>880.07</x:v>
      </x:c>
      <x:c r="AE170" s="15" t="str">
        <x:v>FACTIBLE_CON_REGLAS_SINTETICAS</x:v>
      </x:c>
      <x:c r="AF170" s="15" t="str">
        <x:v>true</x:v>
      </x:c>
    </x:row>
    <x:row r="171">
      <x:c r="A171" s="15" t="str">
        <x:v>SYN-170</x:v>
      </x:c>
      <x:c r="B171" s="15" t="str">
        <x:v>Toldos</x:v>
      </x:c>
      <x:c r="C171" s="15" t="n">
        <x:v>12.77</x:v>
      </x:c>
      <x:c r="D171" s="15" t="n">
        <x:v>1</x:v>
      </x:c>
      <x:c r="E171" s="15" t="n">
        <x:v>1</x:v>
      </x:c>
      <x:c r="F171" s="15" t="n">
        <x:v>3</x:v>
      </x:c>
      <x:c r="G171" s="15" t="n">
        <x:v>22</x:v>
      </x:c>
      <x:c r="H171" s="15" t="n">
        <x:v>17</x:v>
      </x:c>
      <x:c r="I171" s="15" t="str">
        <x:v>CONCRETADA</x:v>
      </x:c>
      <x:c r="J171" s="15" t="n">
        <x:v>1</x:v>
      </x:c>
      <x:c r="K171" s="15" t="str">
        <x:v>true</x:v>
      </x:c>
      <x:c r="L171" s="15" t="n">
        <x:v>2543.88</x:v>
      </x:c>
      <x:c r="M171" s="15" t="n">
        <x:v>2</x:v>
      </x:c>
      <x:c r="N171" s="15" t="n">
        <x:v>2</x:v>
      </x:c>
      <x:c r="O171" s="15" t="str">
        <x:v>NO_APLICA</x:v>
      </x:c>
      <x:c r="P171" s="15" t="str">
        <x:v>Lona orillo azul DEMO</x:v>
      </x:c>
      <x:c r="Q171" s="15" t="str">
        <x:v>ESTANDAR</x:v>
      </x:c>
      <x:c r="R171" s="15" t="str">
        <x:v>m² simulado</x:v>
      </x:c>
      <x:c r="S171" s="15" t="n">
        <x:v>1.1</x:v>
      </x:c>
      <x:c r="T171" s="15" t="n">
        <x:v>4.4</x:v>
      </x:c>
      <x:c r="U171" s="15" t="n">
        <x:v>22</x:v>
      </x:c>
      <x:c r="V171" s="15" t="n">
        <x:v>0</x:v>
      </x:c>
      <x:c r="W171" s="15" t="str">
        <x:v>SUFICIENTE_EN_ESCENARIO</x:v>
      </x:c>
      <x:c r="X171" s="15" t="n">
        <x:v>120</x:v>
      </x:c>
      <x:c r="Y171" s="15" t="n">
        <x:v>480</x:v>
      </x:c>
      <x:c r="Z171" s="15" t="n">
        <x:v>61.3</x:v>
      </x:c>
      <x:c r="AA171" s="28" t="n">
        <x:v>418.7</x:v>
      </x:c>
      <x:c r="AB171" s="15" t="n">
        <x:v>25</x:v>
      </x:c>
      <x:c r="AC171" s="28" t="n">
        <x:v>110</x:v>
      </x:c>
      <x:c r="AD171" s="28" t="n">
        <x:v>308.7</x:v>
      </x:c>
      <x:c r="AE171" s="15" t="str">
        <x:v>FACTIBLE_CON_REGLAS_SINTETICAS</x:v>
      </x:c>
      <x:c r="AF171" s="15" t="str">
        <x:v>true</x:v>
      </x:c>
    </x:row>
    <x:row r="172">
      <x:c r="A172" s="15" t="str">
        <x:v>SYN-171</x:v>
      </x:c>
      <x:c r="B172" s="15" t="str">
        <x:v>Tapizado de moto</x:v>
      </x:c>
      <x:c r="C172" s="15" t="n">
        <x:v>17.72</x:v>
      </x:c>
      <x:c r="D172" s="15" t="n">
        <x:v>1</x:v>
      </x:c>
      <x:c r="E172" s="15" t="n">
        <x:v>1</x:v>
      </x:c>
      <x:c r="F172" s="15" t="n">
        <x:v>3</x:v>
      </x:c>
      <x:c r="G172" s="15" t="n">
        <x:v>90</x:v>
      </x:c>
      <x:c r="H172" s="15" t="n">
        <x:v>13</x:v>
      </x:c>
      <x:c r="I172" s="15" t="str">
        <x:v>CONCRETADA</x:v>
      </x:c>
      <x:c r="J172" s="15" t="n">
        <x:v>1</x:v>
      </x:c>
      <x:c r="K172" s="15" t="str">
        <x:v>true</x:v>
      </x:c>
      <x:c r="L172" s="15" t="n">
        <x:v>4793.55</x:v>
      </x:c>
      <x:c r="M172" s="15" t="n">
        <x:v>4</x:v>
      </x:c>
      <x:c r="N172" s="15" t="n">
        <x:v>3</x:v>
      </x:c>
      <x:c r="O172" s="15" t="str">
        <x:v>NO_APLICA</x:v>
      </x:c>
      <x:c r="P172" s="15" t="str">
        <x:v>Oxford DEMO</x:v>
      </x:c>
      <x:c r="Q172" s="15" t="str">
        <x:v>NO_APLICA</x:v>
      </x:c>
      <x:c r="R172" s="15" t="str">
        <x:v>m² equivalente DEMO</x:v>
      </x:c>
      <x:c r="S172" s="15" t="n">
        <x:v>0.55</x:v>
      </x:c>
      <x:c r="T172" s="15" t="n">
        <x:v>6.6</x:v>
      </x:c>
      <x:c r="U172" s="15" t="n">
        <x:v>9</x:v>
      </x:c>
      <x:c r="V172" s="15" t="n">
        <x:v>0</x:v>
      </x:c>
      <x:c r="W172" s="15" t="str">
        <x:v>SUFICIENTE_EN_ESCENARIO</x:v>
      </x:c>
      <x:c r="X172" s="15" t="n">
        <x:v>155</x:v>
      </x:c>
      <x:c r="Y172" s="15" t="n">
        <x:v>1860</x:v>
      </x:c>
      <x:c r="Z172" s="15" t="n">
        <x:v>329.59</x:v>
      </x:c>
      <x:c r="AA172" s="28" t="n">
        <x:v>1530.41</x:v>
      </x:c>
      <x:c r="AB172" s="15" t="n">
        <x:v>38</x:v>
      </x:c>
      <x:c r="AC172" s="28" t="n">
        <x:v>250.8</x:v>
      </x:c>
      <x:c r="AD172" s="28" t="n">
        <x:v>1279.61</x:v>
      </x:c>
      <x:c r="AE172" s="15" t="str">
        <x:v>FACTIBLE_CON_REGLAS_SINTETICAS</x:v>
      </x:c>
      <x:c r="AF172" s="15" t="str">
        <x:v>true</x:v>
      </x:c>
    </x:row>
    <x:row r="173">
      <x:c r="A173" s="15" t="str">
        <x:v>SYN-172</x:v>
      </x:c>
      <x:c r="B173" s="15" t="str">
        <x:v>Carpas</x:v>
      </x:c>
      <x:c r="C173" s="15" t="n">
        <x:v>5.79</x:v>
      </x:c>
      <x:c r="D173" s="15" t="n">
        <x:v>1</x:v>
      </x:c>
      <x:c r="E173" s="15" t="n">
        <x:v>1</x:v>
      </x:c>
      <x:c r="F173" s="15" t="n">
        <x:v>15</x:v>
      </x:c>
      <x:c r="G173" s="15" t="n">
        <x:v>79</x:v>
      </x:c>
      <x:c r="H173" s="15" t="n">
        <x:v>17</x:v>
      </x:c>
      <x:c r="I173" s="15" t="str">
        <x:v>CONCRETADA</x:v>
      </x:c>
      <x:c r="J173" s="15" t="n">
        <x:v>1</x:v>
      </x:c>
      <x:c r="K173" s="15" t="str">
        <x:v>true</x:v>
      </x:c>
      <x:c r="L173" s="15" t="n">
        <x:v>6641.08</x:v>
      </x:c>
      <x:c r="M173" s="15" t="n">
        <x:v>6</x:v>
      </x:c>
      <x:c r="N173" s="15" t="n">
        <x:v>4</x:v>
      </x:c>
      <x:c r="O173" s="15" t="str">
        <x:v>ABIERTA</x:v>
      </x:c>
      <x:c r="P173" s="15" t="str">
        <x:v>Lino económico DEMO</x:v>
      </x:c>
      <x:c r="Q173" s="15" t="str">
        <x:v>ECONOMICO</x:v>
      </x:c>
      <x:c r="R173" s="15" t="str">
        <x:v>m² simulado</x:v>
      </x:c>
      <x:c r="S173" s="15" t="n">
        <x:v>1.12</x:v>
      </x:c>
      <x:c r="T173" s="15" t="n">
        <x:v>26.88</x:v>
      </x:c>
      <x:c r="U173" s="15" t="n">
        <x:v>32</x:v>
      </x:c>
      <x:c r="V173" s="15" t="n">
        <x:v>0</x:v>
      </x:c>
      <x:c r="W173" s="15" t="str">
        <x:v>SUFICIENTE_EN_ESCENARIO</x:v>
      </x:c>
      <x:c r="X173" s="15" t="n">
        <x:v>95</x:v>
      </x:c>
      <x:c r="Y173" s="15" t="n">
        <x:v>2280</x:v>
      </x:c>
      <x:c r="Z173" s="15" t="n">
        <x:v>132.01</x:v>
      </x:c>
      <x:c r="AA173" s="28" t="n">
        <x:v>2147.99</x:v>
      </x:c>
      <x:c r="AB173" s="15" t="n">
        <x:v>18</x:v>
      </x:c>
      <x:c r="AC173" s="28" t="n">
        <x:v>483.84</x:v>
      </x:c>
      <x:c r="AD173" s="28" t="n">
        <x:v>1664.15</x:v>
      </x:c>
      <x:c r="AE173" s="15" t="str">
        <x:v>FACTIBLE_CON_REGLAS_SINTETICAS</x:v>
      </x:c>
      <x:c r="AF173" s="15" t="str">
        <x:v>true</x:v>
      </x:c>
    </x:row>
    <x:row r="174">
      <x:c r="A174" s="15" t="str">
        <x:v>SYN-173</x:v>
      </x:c>
      <x:c r="B174" s="15" t="str">
        <x:v>Toldos</x:v>
      </x:c>
      <x:c r="C174" s="15" t="n">
        <x:v>14.66</x:v>
      </x:c>
      <x:c r="D174" s="15" t="n">
        <x:v>1</x:v>
      </x:c>
      <x:c r="E174" s="15" t="n">
        <x:v>1</x:v>
      </x:c>
      <x:c r="F174" s="15" t="n">
        <x:v>19</x:v>
      </x:c>
      <x:c r="G174" s="15" t="n">
        <x:v>33</x:v>
      </x:c>
      <x:c r="H174" s="15" t="n">
        <x:v>16</x:v>
      </x:c>
      <x:c r="I174" s="15" t="str">
        <x:v>CONCRETADA</x:v>
      </x:c>
      <x:c r="J174" s="15" t="n">
        <x:v>1</x:v>
      </x:c>
      <x:c r="K174" s="15" t="str">
        <x:v>true</x:v>
      </x:c>
      <x:c r="L174" s="15" t="n">
        <x:v>3281.16</x:v>
      </x:c>
      <x:c r="M174" s="15" t="n">
        <x:v>3</x:v>
      </x:c>
      <x:c r="N174" s="15" t="n">
        <x:v>2</x:v>
      </x:c>
      <x:c r="O174" s="15" t="str">
        <x:v>NO_APLICA</x:v>
      </x:c>
      <x:c r="P174" s="15" t="str">
        <x:v>Tarflex DEMO</x:v>
      </x:c>
      <x:c r="Q174" s="15" t="str">
        <x:v>ESTANDAR</x:v>
      </x:c>
      <x:c r="R174" s="15" t="str">
        <x:v>m² simulado</x:v>
      </x:c>
      <x:c r="S174" s="15" t="n">
        <x:v>1.1</x:v>
      </x:c>
      <x:c r="T174" s="15" t="n">
        <x:v>6.6</x:v>
      </x:c>
      <x:c r="U174" s="15" t="n">
        <x:v>24</x:v>
      </x:c>
      <x:c r="V174" s="15" t="n">
        <x:v>0</x:v>
      </x:c>
      <x:c r="W174" s="15" t="str">
        <x:v>SUFICIENTE_EN_ESCENARIO</x:v>
      </x:c>
      <x:c r="X174" s="15" t="n">
        <x:v>112</x:v>
      </x:c>
      <x:c r="Y174" s="15" t="n">
        <x:v>672</x:v>
      </x:c>
      <x:c r="Z174" s="15" t="n">
        <x:v>98.52</x:v>
      </x:c>
      <x:c r="AA174" s="28" t="n">
        <x:v>573.48</x:v>
      </x:c>
      <x:c r="AB174" s="15" t="n">
        <x:v>23</x:v>
      </x:c>
      <x:c r="AC174" s="28" t="n">
        <x:v>151.8</x:v>
      </x:c>
      <x:c r="AD174" s="28" t="n">
        <x:v>421.68</x:v>
      </x:c>
      <x:c r="AE174" s="15" t="str">
        <x:v>FACTIBLE_CON_REGLAS_SINTETICAS</x:v>
      </x:c>
      <x:c r="AF174" s="15" t="str">
        <x:v>true</x:v>
      </x:c>
    </x:row>
    <x:row r="175">
      <x:c r="A175" s="15" t="str">
        <x:v>SYN-174</x:v>
      </x:c>
      <x:c r="B175" s="15" t="str">
        <x:v>Tapizado de moto</x:v>
      </x:c>
      <x:c r="C175" s="15" t="n">
        <x:v>11.72</x:v>
      </x:c>
      <x:c r="D175" s="15" t="n">
        <x:v>0</x:v>
      </x:c>
      <x:c r="E175" s="15" t="n">
        <x:v>0</x:v>
      </x:c>
      <x:c r="F175" s="15" t="n">
        <x:v>75</x:v>
      </x:c>
      <x:c r="G175" s="15" t="n">
        <x:v>27</x:v>
      </x:c>
      <x:c r="H175" s="15" t="n">
        <x:v>17</x:v>
      </x:c>
      <x:c r="I175" s="15" t="str">
        <x:v>NO_CONCRETADA</x:v>
      </x:c>
      <x:c r="J175" s="15" t="n">
        <x:v>0</x:v>
      </x:c>
      <x:c r="K175" s="15" t="str">
        <x:v>true</x:v>
      </x:c>
      <x:c r="L175" s="15" t="n">
        <x:v>2067.42</x:v>
      </x:c>
      <x:c r="M175" s="15" t="n">
        <x:v>4</x:v>
      </x:c>
      <x:c r="N175" s="15" t="n">
        <x:v>3</x:v>
      </x:c>
      <x:c r="O175" s="15" t="str">
        <x:v>NO_APLICA</x:v>
      </x:c>
      <x:c r="P175" s="15" t="str">
        <x:v>Oxford DEMO</x:v>
      </x:c>
      <x:c r="Q175" s="15" t="str">
        <x:v>NO_APLICA</x:v>
      </x:c>
      <x:c r="R175" s="15" t="str">
        <x:v>m² equivalente DEMO</x:v>
      </x:c>
      <x:c r="S175" s="15" t="n">
        <x:v>0.55</x:v>
      </x:c>
      <x:c r="T175" s="15" t="n">
        <x:v>6.6</x:v>
      </x:c>
      <x:c r="U175" s="15" t="n">
        <x:v>9</x:v>
      </x:c>
      <x:c r="V175" s="15" t="n">
        <x:v>0</x:v>
      </x:c>
      <x:c r="W175" s="15" t="str">
        <x:v>SUFICIENTE_EN_ESCENARIO</x:v>
      </x:c>
      <x:c r="X175" s="15" t="n">
        <x:v>155</x:v>
      </x:c>
      <x:c r="Y175" s="15" t="n">
        <x:v>1860</x:v>
      </x:c>
      <x:c r="Z175" s="15" t="n">
        <x:v>217.99</x:v>
      </x:c>
      <x:c r="AA175" s="28" t="n">
        <x:v>1642.01</x:v>
      </x:c>
      <x:c r="AB175" s="15" t="n">
        <x:v>38</x:v>
      </x:c>
      <x:c r="AC175" s="28" t="n">
        <x:v>250.8</x:v>
      </x:c>
      <x:c r="AD175" s="28" t="n">
        <x:v>1391.21</x:v>
      </x:c>
      <x:c r="AE175" s="15" t="str">
        <x:v>REVISAR_DATOS</x:v>
      </x:c>
      <x:c r="AF175" s="15" t="str">
        <x:v>true</x:v>
      </x:c>
    </x:row>
    <x:row r="176">
      <x:c r="A176" s="15" t="str">
        <x:v>SYN-175</x:v>
      </x:c>
      <x:c r="B176" s="15" t="str">
        <x:v>Carpas</x:v>
      </x:c>
      <x:c r="C176" s="15" t="n">
        <x:v>12.3</x:v>
      </x:c>
      <x:c r="D176" s="15" t="n">
        <x:v>0</x:v>
      </x:c>
      <x:c r="E176" s="15" t="n">
        <x:v>0</x:v>
      </x:c>
      <x:c r="F176" s="15" t="n">
        <x:v>71</x:v>
      </x:c>
      <x:c r="G176" s="15" t="n">
        <x:v>1</x:v>
      </x:c>
      <x:c r="H176" s="15" t="n">
        <x:v>17</x:v>
      </x:c>
      <x:c r="I176" s="15" t="str">
        <x:v>NO_CONCRETADA</x:v>
      </x:c>
      <x:c r="J176" s="15" t="n">
        <x:v>0</x:v>
      </x:c>
      <x:c r="K176" s="15" t="str">
        <x:v>true</x:v>
      </x:c>
      <x:c r="L176" s="15" t="n">
        <x:v>4652.26</x:v>
      </x:c>
      <x:c r="M176" s="15" t="n">
        <x:v>3</x:v>
      </x:c>
      <x:c r="N176" s="15" t="n">
        <x:v>3</x:v>
      </x:c>
      <x:c r="O176" s="15" t="str">
        <x:v>CERRADA</x:v>
      </x:c>
      <x:c r="P176" s="15" t="str">
        <x:v>Lino pesado DEMO</x:v>
      </x:c>
      <x:c r="Q176" s="15" t="str">
        <x:v>PESADO</x:v>
      </x:c>
      <x:c r="R176" s="15" t="str">
        <x:v>m² simulado</x:v>
      </x:c>
      <x:c r="S176" s="15" t="n">
        <x:v>1.55</x:v>
      </x:c>
      <x:c r="T176" s="15" t="n">
        <x:v>13.95</x:v>
      </x:c>
      <x:c r="U176" s="15" t="n">
        <x:v>20</x:v>
      </x:c>
      <x:c r="V176" s="15" t="n">
        <x:v>0</x:v>
      </x:c>
      <x:c r="W176" s="15" t="str">
        <x:v>SUFICIENTE_EN_ESCENARIO</x:v>
      </x:c>
      <x:c r="X176" s="15" t="n">
        <x:v>125</x:v>
      </x:c>
      <x:c r="Y176" s="15" t="n">
        <x:v>1518.75</x:v>
      </x:c>
      <x:c r="Z176" s="15" t="n">
        <x:v>186.81</x:v>
      </x:c>
      <x:c r="AA176" s="28" t="n">
        <x:v>1331.94</x:v>
      </x:c>
      <x:c r="AB176" s="15" t="n">
        <x:v>29</x:v>
      </x:c>
      <x:c r="AC176" s="28" t="n">
        <x:v>404.55</x:v>
      </x:c>
      <x:c r="AD176" s="28" t="n">
        <x:v>927.39</x:v>
      </x:c>
      <x:c r="AE176" s="15" t="str">
        <x:v>REVISAR_DATOS</x:v>
      </x:c>
      <x:c r="AF176" s="15" t="str">
        <x:v>true</x:v>
      </x:c>
    </x:row>
    <x:row r="177">
      <x:c r="A177" s="15" t="str">
        <x:v>SYN-176</x:v>
      </x:c>
      <x:c r="B177" s="15" t="str">
        <x:v>Toldos</x:v>
      </x:c>
      <x:c r="C177" s="15" t="n">
        <x:v>8.25</x:v>
      </x:c>
      <x:c r="D177" s="15" t="n">
        <x:v>1</x:v>
      </x:c>
      <x:c r="E177" s="15" t="n">
        <x:v>1</x:v>
      </x:c>
      <x:c r="F177" s="15" t="n">
        <x:v>22</x:v>
      </x:c>
      <x:c r="G177" s="15" t="n">
        <x:v>11</x:v>
      </x:c>
      <x:c r="H177" s="15" t="n">
        <x:v>18</x:v>
      </x:c>
      <x:c r="I177" s="15" t="str">
        <x:v>CONCRETADA</x:v>
      </x:c>
      <x:c r="J177" s="15" t="n">
        <x:v>1</x:v>
      </x:c>
      <x:c r="K177" s="15" t="str">
        <x:v>true</x:v>
      </x:c>
      <x:c r="L177" s="15" t="n">
        <x:v>2441.92</x:v>
      </x:c>
      <x:c r="M177" s="15" t="n">
        <x:v>6</x:v>
      </x:c>
      <x:c r="N177" s="15" t="n">
        <x:v>4</x:v>
      </x:c>
      <x:c r="O177" s="15" t="str">
        <x:v>NO_APLICA</x:v>
      </x:c>
      <x:c r="P177" s="15" t="str">
        <x:v>Lona orillo azul DEMO</x:v>
      </x:c>
      <x:c r="Q177" s="15" t="str">
        <x:v>ESTANDAR</x:v>
      </x:c>
      <x:c r="R177" s="15" t="str">
        <x:v>m² simulado</x:v>
      </x:c>
      <x:c r="S177" s="15" t="n">
        <x:v>1.1</x:v>
      </x:c>
      <x:c r="T177" s="15" t="n">
        <x:v>26.4</x:v>
      </x:c>
      <x:c r="U177" s="15" t="n">
        <x:v>22</x:v>
      </x:c>
      <x:c r="V177" s="15" t="n">
        <x:v>4.4</x:v>
      </x:c>
      <x:c r="W177" s="15" t="str">
        <x:v>FALTANTE_EN_ESCENARIO</x:v>
      </x:c>
      <x:c r="X177" s="15" t="n">
        <x:v>120</x:v>
      </x:c>
      <x:c r="Y177" s="15" t="n">
        <x:v>2880</x:v>
      </x:c>
      <x:c r="Z177" s="15" t="n">
        <x:v>237.6</x:v>
      </x:c>
      <x:c r="AA177" s="28" t="n">
        <x:v>2642.4</x:v>
      </x:c>
      <x:c r="AB177" s="15" t="n">
        <x:v>25</x:v>
      </x:c>
      <x:c r="AC177" s="28" t="n">
        <x:v>660</x:v>
      </x:c>
      <x:c r="AD177" s="28" t="n">
        <x:v>1982.4</x:v>
      </x:c>
      <x:c r="AE177" s="15" t="str">
        <x:v>FALTA_STOCK</x:v>
      </x:c>
      <x:c r="AF177" s="15" t="str">
        <x:v>true</x:v>
      </x:c>
    </x:row>
    <x:row r="178">
      <x:c r="A178" s="15" t="str">
        <x:v>SYN-177</x:v>
      </x:c>
      <x:c r="B178" s="15" t="str">
        <x:v>Tapizado de moto</x:v>
      </x:c>
      <x:c r="C178" s="15" t="n">
        <x:v>13.36</x:v>
      </x:c>
      <x:c r="D178" s="15" t="n">
        <x:v>1</x:v>
      </x:c>
      <x:c r="E178" s="15" t="n">
        <x:v>1</x:v>
      </x:c>
      <x:c r="F178" s="15" t="n">
        <x:v>49</x:v>
      </x:c>
      <x:c r="G178" s="15" t="n">
        <x:v>21</x:v>
      </x:c>
      <x:c r="H178" s="15" t="n">
        <x:v>7</x:v>
      </x:c>
      <x:c r="I178" s="15" t="str">
        <x:v>NO_CONCRETADA</x:v>
      </x:c>
      <x:c r="J178" s="15" t="n">
        <x:v>0</x:v>
      </x:c>
      <x:c r="K178" s="15" t="str">
        <x:v>true</x:v>
      </x:c>
      <x:c r="L178" s="15" t="n">
        <x:v>6325.23</x:v>
      </x:c>
      <x:c r="M178" s="15" t="n">
        <x:v>6</x:v>
      </x:c>
      <x:c r="N178" s="15" t="n">
        <x:v>4</x:v>
      </x:c>
      <x:c r="O178" s="15" t="str">
        <x:v>NO_APLICA</x:v>
      </x:c>
      <x:c r="P178" s="15" t="str">
        <x:v>Oxford DEMO</x:v>
      </x:c>
      <x:c r="Q178" s="15" t="str">
        <x:v>NO_APLICA</x:v>
      </x:c>
      <x:c r="R178" s="15" t="str">
        <x:v>m² equivalente DEMO</x:v>
      </x:c>
      <x:c r="S178" s="15" t="n">
        <x:v>0.55</x:v>
      </x:c>
      <x:c r="T178" s="15" t="n">
        <x:v>13.2</x:v>
      </x:c>
      <x:c r="U178" s="15" t="n">
        <x:v>9</x:v>
      </x:c>
      <x:c r="V178" s="15" t="n">
        <x:v>4.2</x:v>
      </x:c>
      <x:c r="W178" s="15" t="str">
        <x:v>FALTANTE_EN_ESCENARIO</x:v>
      </x:c>
      <x:c r="X178" s="15" t="n">
        <x:v>155</x:v>
      </x:c>
      <x:c r="Y178" s="15" t="n">
        <x:v>3720</x:v>
      </x:c>
      <x:c r="Z178" s="15" t="n">
        <x:v>496.99</x:v>
      </x:c>
      <x:c r="AA178" s="28" t="n">
        <x:v>3223.01</x:v>
      </x:c>
      <x:c r="AB178" s="15" t="n">
        <x:v>38</x:v>
      </x:c>
      <x:c r="AC178" s="28" t="n">
        <x:v>501.6</x:v>
      </x:c>
      <x:c r="AD178" s="28" t="n">
        <x:v>2721.41</x:v>
      </x:c>
      <x:c r="AE178" s="15" t="str">
        <x:v>FALTA_STOCK</x:v>
      </x:c>
      <x:c r="AF178" s="15" t="str">
        <x:v>true</x:v>
      </x:c>
    </x:row>
    <x:row r="179">
      <x:c r="A179" s="15" t="str">
        <x:v>SYN-178</x:v>
      </x:c>
      <x:c r="B179" s="15" t="str">
        <x:v>Carpas</x:v>
      </x:c>
      <x:c r="C179" s="15" t="n">
        <x:v>12.97</x:v>
      </x:c>
      <x:c r="D179" s="15" t="n">
        <x:v>1</x:v>
      </x:c>
      <x:c r="E179" s="15" t="n">
        <x:v>1</x:v>
      </x:c>
      <x:c r="F179" s="15" t="n">
        <x:v>54</x:v>
      </x:c>
      <x:c r="G179" s="15" t="n">
        <x:v>60</x:v>
      </x:c>
      <x:c r="H179" s="15" t="n">
        <x:v>12</x:v>
      </x:c>
      <x:c r="I179" s="15" t="str">
        <x:v>CONCRETADA</x:v>
      </x:c>
      <x:c r="J179" s="15" t="n">
        <x:v>1</x:v>
      </x:c>
      <x:c r="K179" s="15" t="str">
        <x:v>true</x:v>
      </x:c>
      <x:c r="L179" s="15" t="n">
        <x:v>4476.78</x:v>
      </x:c>
      <x:c r="M179" s="15" t="n">
        <x:v>3</x:v>
      </x:c>
      <x:c r="N179" s="15" t="n">
        <x:v>2</x:v>
      </x:c>
      <x:c r="O179" s="15" t="str">
        <x:v>ABIERTA</x:v>
      </x:c>
      <x:c r="P179" s="15" t="str">
        <x:v>Lino pesado DEMO</x:v>
      </x:c>
      <x:c r="Q179" s="15" t="str">
        <x:v>PESADO</x:v>
      </x:c>
      <x:c r="R179" s="15" t="str">
        <x:v>m² simulado</x:v>
      </x:c>
      <x:c r="S179" s="15" t="n">
        <x:v>1.12</x:v>
      </x:c>
      <x:c r="T179" s="15" t="n">
        <x:v>6.72</x:v>
      </x:c>
      <x:c r="U179" s="15" t="n">
        <x:v>20</x:v>
      </x:c>
      <x:c r="V179" s="15" t="n">
        <x:v>0</x:v>
      </x:c>
      <x:c r="W179" s="15" t="str">
        <x:v>SUFICIENTE_EN_ESCENARIO</x:v>
      </x:c>
      <x:c r="X179" s="15" t="n">
        <x:v>125</x:v>
      </x:c>
      <x:c r="Y179" s="15" t="n">
        <x:v>750</x:v>
      </x:c>
      <x:c r="Z179" s="15" t="n">
        <x:v>97.28</x:v>
      </x:c>
      <x:c r="AA179" s="28" t="n">
        <x:v>652.73</x:v>
      </x:c>
      <x:c r="AB179" s="15" t="n">
        <x:v>29</x:v>
      </x:c>
      <x:c r="AC179" s="28" t="n">
        <x:v>194.88</x:v>
      </x:c>
      <x:c r="AD179" s="28" t="n">
        <x:v>457.85</x:v>
      </x:c>
      <x:c r="AE179" s="15" t="str">
        <x:v>FACTIBLE_CON_REGLAS_SINTETICAS</x:v>
      </x:c>
      <x:c r="AF179" s="15" t="str">
        <x:v>true</x:v>
      </x:c>
    </x:row>
    <x:row r="180">
      <x:c r="A180" s="15" t="str">
        <x:v>SYN-179</x:v>
      </x:c>
      <x:c r="B180" s="15" t="str">
        <x:v>Toldos</x:v>
      </x:c>
      <x:c r="C180" s="15" t="n">
        <x:v>2.26</x:v>
      </x:c>
      <x:c r="D180" s="15" t="n">
        <x:v>1</x:v>
      </x:c>
      <x:c r="E180" s="15" t="n">
        <x:v>1</x:v>
      </x:c>
      <x:c r="F180" s="15" t="n">
        <x:v>72</x:v>
      </x:c>
      <x:c r="G180" s="15" t="n">
        <x:v>48</x:v>
      </x:c>
      <x:c r="H180" s="15" t="n">
        <x:v>10</x:v>
      </x:c>
      <x:c r="I180" s="15" t="str">
        <x:v>CONCRETADA</x:v>
      </x:c>
      <x:c r="J180" s="15" t="n">
        <x:v>1</x:v>
      </x:c>
      <x:c r="K180" s="15" t="str">
        <x:v>true</x:v>
      </x:c>
      <x:c r="L180" s="15" t="n">
        <x:v>6432.23</x:v>
      </x:c>
      <x:c r="M180" s="15" t="n">
        <x:v>4</x:v>
      </x:c>
      <x:c r="N180" s="15" t="n">
        <x:v>3</x:v>
      </x:c>
      <x:c r="O180" s="15" t="str">
        <x:v>NO_APLICA</x:v>
      </x:c>
      <x:c r="P180" s="15" t="str">
        <x:v>Lona orillo rojo DEMO</x:v>
      </x:c>
      <x:c r="Q180" s="15" t="str">
        <x:v>ESTANDAR</x:v>
      </x:c>
      <x:c r="R180" s="15" t="str">
        <x:v>m² simulado</x:v>
      </x:c>
      <x:c r="S180" s="15" t="n">
        <x:v>1.1</x:v>
      </x:c>
      <x:c r="T180" s="15" t="n">
        <x:v>13.2</x:v>
      </x:c>
      <x:c r="U180" s="15" t="n">
        <x:v>18</x:v>
      </x:c>
      <x:c r="V180" s="15" t="n">
        <x:v>0</x:v>
      </x:c>
      <x:c r="W180" s="15" t="str">
        <x:v>SUFICIENTE_EN_ESCENARIO</x:v>
      </x:c>
      <x:c r="X180" s="15" t="n">
        <x:v>122</x:v>
      </x:c>
      <x:c r="Y180" s="15" t="n">
        <x:v>1464</x:v>
      </x:c>
      <x:c r="Z180" s="15" t="n">
        <x:v>33.09</x:v>
      </x:c>
      <x:c r="AA180" s="28" t="n">
        <x:v>1430.91</x:v>
      </x:c>
      <x:c r="AB180" s="15" t="n">
        <x:v>26</x:v>
      </x:c>
      <x:c r="AC180" s="28" t="n">
        <x:v>343.2</x:v>
      </x:c>
      <x:c r="AD180" s="28" t="n">
        <x:v>1087.71</x:v>
      </x:c>
      <x:c r="AE180" s="15" t="str">
        <x:v>FACTIBLE_CON_REGLAS_SINTETICAS</x:v>
      </x:c>
      <x:c r="AF180" s="15" t="str">
        <x:v>true</x:v>
      </x:c>
    </x:row>
    <x:row r="181">
      <x:c r="A181" s="15" t="str">
        <x:v>SYN-180</x:v>
      </x:c>
      <x:c r="B181" s="15" t="str">
        <x:v>Tapizado de moto</x:v>
      </x:c>
      <x:c r="C181" s="15" t="n">
        <x:v>19.96</x:v>
      </x:c>
      <x:c r="D181" s="15" t="n">
        <x:v>1</x:v>
      </x:c>
      <x:c r="E181" s="15" t="n">
        <x:v>1</x:v>
      </x:c>
      <x:c r="F181" s="15" t="n">
        <x:v>8</x:v>
      </x:c>
      <x:c r="G181" s="15" t="n">
        <x:v>59</x:v>
      </x:c>
      <x:c r="H181" s="15" t="n">
        <x:v>13</x:v>
      </x:c>
      <x:c r="I181" s="15" t="str">
        <x:v>CONCRETADA</x:v>
      </x:c>
      <x:c r="J181" s="15" t="n">
        <x:v>1</x:v>
      </x:c>
      <x:c r="K181" s="15" t="str">
        <x:v>true</x:v>
      </x:c>
      <x:c r="L181" s="15" t="n">
        <x:v>3495.83</x:v>
      </x:c>
      <x:c r="M181" s="15" t="n">
        <x:v>3</x:v>
      </x:c>
      <x:c r="N181" s="15" t="n">
        <x:v>2</x:v>
      </x:c>
      <x:c r="O181" s="15" t="str">
        <x:v>NO_APLICA</x:v>
      </x:c>
      <x:c r="P181" s="15" t="str">
        <x:v>Oxford DEMO</x:v>
      </x:c>
      <x:c r="Q181" s="15" t="str">
        <x:v>NO_APLICA</x:v>
      </x:c>
      <x:c r="R181" s="15" t="str">
        <x:v>m² equivalente DEMO</x:v>
      </x:c>
      <x:c r="S181" s="15" t="n">
        <x:v>0.55</x:v>
      </x:c>
      <x:c r="T181" s="15" t="n">
        <x:v>3.3</x:v>
      </x:c>
      <x:c r="U181" s="15" t="n">
        <x:v>9</x:v>
      </x:c>
      <x:c r="V181" s="15" t="n">
        <x:v>0</x:v>
      </x:c>
      <x:c r="W181" s="15" t="str">
        <x:v>SUFICIENTE_EN_ESCENARIO</x:v>
      </x:c>
      <x:c r="X181" s="15" t="n">
        <x:v>155</x:v>
      </x:c>
      <x:c r="Y181" s="15" t="n">
        <x:v>930</x:v>
      </x:c>
      <x:c r="Z181" s="15" t="n">
        <x:v>185.63</x:v>
      </x:c>
      <x:c r="AA181" s="28" t="n">
        <x:v>744.37</x:v>
      </x:c>
      <x:c r="AB181" s="15" t="n">
        <x:v>38</x:v>
      </x:c>
      <x:c r="AC181" s="28" t="n">
        <x:v>125.4</x:v>
      </x:c>
      <x:c r="AD181" s="28" t="n">
        <x:v>618.97</x:v>
      </x:c>
      <x:c r="AE181" s="15" t="str">
        <x:v>FACTIBLE_CON_REGLAS_SINTETICAS</x:v>
      </x:c>
      <x:c r="AF181" s="15" t="str">
        <x:v>true</x:v>
      </x:c>
    </x:row>
    <x:row r="182">
      <x:c r="A182" s="15" t="str">
        <x:v>SYN-181</x:v>
      </x:c>
      <x:c r="B182" s="15" t="str">
        <x:v>Carpas</x:v>
      </x:c>
      <x:c r="C182" s="15" t="n">
        <x:v>6.26</x:v>
      </x:c>
      <x:c r="D182" s="15" t="n">
        <x:v>1</x:v>
      </x:c>
      <x:c r="E182" s="15" t="n">
        <x:v>0</x:v>
      </x:c>
      <x:c r="F182" s="15" t="n">
        <x:v>23</x:v>
      </x:c>
      <x:c r="G182" s="15" t="n">
        <x:v>34</x:v>
      </x:c>
      <x:c r="H182" s="15" t="n">
        <x:v>2</x:v>
      </x:c>
      <x:c r="I182" s="15" t="str">
        <x:v>NO_CONCRETADA</x:v>
      </x:c>
      <x:c r="J182" s="15" t="n">
        <x:v>0</x:v>
      </x:c>
      <x:c r="K182" s="15" t="str">
        <x:v>true</x:v>
      </x:c>
      <x:c r="L182" s="15" t="n">
        <x:v>2292.64</x:v>
      </x:c>
      <x:c r="M182" s="15" t="n">
        <x:v>3</x:v>
      </x:c>
      <x:c r="N182" s="15" t="n">
        <x:v>3</x:v>
      </x:c>
      <x:c r="O182" s="15" t="str">
        <x:v>ABIERTA</x:v>
      </x:c>
      <x:c r="P182" s="15" t="str">
        <x:v>Lino pesado DEMO</x:v>
      </x:c>
      <x:c r="Q182" s="15" t="str">
        <x:v>PESADO</x:v>
      </x:c>
      <x:c r="R182" s="15" t="str">
        <x:v>m² simulado</x:v>
      </x:c>
      <x:c r="S182" s="15" t="n">
        <x:v>1.12</x:v>
      </x:c>
      <x:c r="T182" s="15" t="n">
        <x:v>10.08</x:v>
      </x:c>
      <x:c r="U182" s="15" t="n">
        <x:v>20</x:v>
      </x:c>
      <x:c r="V182" s="15" t="n">
        <x:v>0</x:v>
      </x:c>
      <x:c r="W182" s="15" t="str">
        <x:v>SUFICIENTE_EN_ESCENARIO</x:v>
      </x:c>
      <x:c r="X182" s="15" t="n">
        <x:v>125</x:v>
      </x:c>
      <x:c r="Y182" s="15" t="n">
        <x:v>1125</x:v>
      </x:c>
      <x:c r="Z182" s="15" t="n">
        <x:v>70.42</x:v>
      </x:c>
      <x:c r="AA182" s="28" t="n">
        <x:v>1054.58</x:v>
      </x:c>
      <x:c r="AB182" s="15" t="n">
        <x:v>29</x:v>
      </x:c>
      <x:c r="AC182" s="28" t="n">
        <x:v>292.32</x:v>
      </x:c>
      <x:c r="AD182" s="28" t="n">
        <x:v>762.25</x:v>
      </x:c>
      <x:c r="AE182" s="15" t="str">
        <x:v>FACTIBLE_CON_REGLAS_SINTETICAS</x:v>
      </x:c>
      <x:c r="AF182" s="15" t="str">
        <x:v>true</x:v>
      </x:c>
    </x:row>
    <x:row r="183">
      <x:c r="A183" s="15" t="str">
        <x:v>SYN-182</x:v>
      </x:c>
      <x:c r="B183" s="15" t="str">
        <x:v>Toldos</x:v>
      </x:c>
      <x:c r="C183" s="15" t="n">
        <x:v>3.74</x:v>
      </x:c>
      <x:c r="D183" s="15" t="n">
        <x:v>0</x:v>
      </x:c>
      <x:c r="E183" s="15" t="n">
        <x:v>0</x:v>
      </x:c>
      <x:c r="F183" s="15" t="n">
        <x:v>72</x:v>
      </x:c>
      <x:c r="G183" s="15" t="n">
        <x:v>6</x:v>
      </x:c>
      <x:c r="H183" s="15" t="n">
        <x:v>8</x:v>
      </x:c>
      <x:c r="I183" s="15" t="str">
        <x:v>NO_CONCRETADA</x:v>
      </x:c>
      <x:c r="J183" s="15" t="n">
        <x:v>0</x:v>
      </x:c>
      <x:c r="K183" s="15" t="str">
        <x:v>true</x:v>
      </x:c>
      <x:c r="L183" s="15" t="n">
        <x:v>2103.03</x:v>
      </x:c>
      <x:c r="M183" s="15" t="n">
        <x:v>5</x:v>
      </x:c>
      <x:c r="N183" s="15" t="n">
        <x:v>4</x:v>
      </x:c>
      <x:c r="O183" s="15" t="str">
        <x:v>NO_APLICA</x:v>
      </x:c>
      <x:c r="P183" s="15" t="str">
        <x:v>Lona orillo rojo DEMO</x:v>
      </x:c>
      <x:c r="Q183" s="15" t="str">
        <x:v>ESTANDAR</x:v>
      </x:c>
      <x:c r="R183" s="15" t="str">
        <x:v>m² simulado</x:v>
      </x:c>
      <x:c r="S183" s="15" t="n">
        <x:v>1.1</x:v>
      </x:c>
      <x:c r="T183" s="15" t="n">
        <x:v>22</x:v>
      </x:c>
      <x:c r="U183" s="15" t="n">
        <x:v>18</x:v>
      </x:c>
      <x:c r="V183" s="15" t="n">
        <x:v>4</x:v>
      </x:c>
      <x:c r="W183" s="15" t="str">
        <x:v>FALTANTE_EN_ESCENARIO</x:v>
      </x:c>
      <x:c r="X183" s="15" t="n">
        <x:v>122</x:v>
      </x:c>
      <x:c r="Y183" s="15" t="n">
        <x:v>2440</x:v>
      </x:c>
      <x:c r="Z183" s="15" t="n">
        <x:v>91.26</x:v>
      </x:c>
      <x:c r="AA183" s="28" t="n">
        <x:v>2348.74</x:v>
      </x:c>
      <x:c r="AB183" s="15" t="n">
        <x:v>26</x:v>
      </x:c>
      <x:c r="AC183" s="28" t="n">
        <x:v>572</x:v>
      </x:c>
      <x:c r="AD183" s="28" t="n">
        <x:v>1776.74</x:v>
      </x:c>
      <x:c r="AE183" s="15" t="str">
        <x:v>REVISAR_DATOS</x:v>
      </x:c>
      <x:c r="AF183" s="15" t="str">
        <x:v>true</x:v>
      </x:c>
    </x:row>
    <x:row r="184">
      <x:c r="A184" s="15" t="str">
        <x:v>SYN-183</x:v>
      </x:c>
      <x:c r="B184" s="15" t="str">
        <x:v>Tapizado de moto</x:v>
      </x:c>
      <x:c r="C184" s="15" t="n">
        <x:v>16.18</x:v>
      </x:c>
      <x:c r="D184" s="15" t="n">
        <x:v>1</x:v>
      </x:c>
      <x:c r="E184" s="15" t="n">
        <x:v>1</x:v>
      </x:c>
      <x:c r="F184" s="15" t="n">
        <x:v>64</x:v>
      </x:c>
      <x:c r="G184" s="15" t="n">
        <x:v>17</x:v>
      </x:c>
      <x:c r="H184" s="15" t="n">
        <x:v>2</x:v>
      </x:c>
      <x:c r="I184" s="15" t="str">
        <x:v>CONCRETADA</x:v>
      </x:c>
      <x:c r="J184" s="15" t="n">
        <x:v>1</x:v>
      </x:c>
      <x:c r="K184" s="15" t="str">
        <x:v>true</x:v>
      </x:c>
      <x:c r="L184" s="15" t="n">
        <x:v>4821.72</x:v>
      </x:c>
      <x:c r="M184" s="15" t="n">
        <x:v>3</x:v>
      </x:c>
      <x:c r="N184" s="15" t="n">
        <x:v>2</x:v>
      </x:c>
      <x:c r="O184" s="15" t="str">
        <x:v>NO_APLICA</x:v>
      </x:c>
      <x:c r="P184" s="15" t="str">
        <x:v>Oxford DEMO</x:v>
      </x:c>
      <x:c r="Q184" s="15" t="str">
        <x:v>NO_APLICA</x:v>
      </x:c>
      <x:c r="R184" s="15" t="str">
        <x:v>m² equivalente DEMO</x:v>
      </x:c>
      <x:c r="S184" s="15" t="n">
        <x:v>0.55</x:v>
      </x:c>
      <x:c r="T184" s="15" t="n">
        <x:v>3.3</x:v>
      </x:c>
      <x:c r="U184" s="15" t="n">
        <x:v>9</x:v>
      </x:c>
      <x:c r="V184" s="15" t="n">
        <x:v>0</x:v>
      </x:c>
      <x:c r="W184" s="15" t="str">
        <x:v>SUFICIENTE_EN_ESCENARIO</x:v>
      </x:c>
      <x:c r="X184" s="15" t="n">
        <x:v>155</x:v>
      </x:c>
      <x:c r="Y184" s="15" t="n">
        <x:v>930</x:v>
      </x:c>
      <x:c r="Z184" s="15" t="n">
        <x:v>150.47</x:v>
      </x:c>
      <x:c r="AA184" s="28" t="n">
        <x:v>779.53</x:v>
      </x:c>
      <x:c r="AB184" s="15" t="n">
        <x:v>38</x:v>
      </x:c>
      <x:c r="AC184" s="28" t="n">
        <x:v>125.4</x:v>
      </x:c>
      <x:c r="AD184" s="28" t="n">
        <x:v>654.13</x:v>
      </x:c>
      <x:c r="AE184" s="15" t="str">
        <x:v>FACTIBLE_CON_REGLAS_SINTETICAS</x:v>
      </x:c>
      <x:c r="AF184" s="15" t="str">
        <x:v>true</x:v>
      </x:c>
    </x:row>
    <x:row r="185">
      <x:c r="A185" s="15" t="str">
        <x:v>SYN-184</x:v>
      </x:c>
      <x:c r="B185" s="15" t="str">
        <x:v>Carpas</x:v>
      </x:c>
      <x:c r="C185" s="15" t="n">
        <x:v>7.96</x:v>
      </x:c>
      <x:c r="D185" s="15" t="n">
        <x:v>1</x:v>
      </x:c>
      <x:c r="E185" s="15" t="n">
        <x:v>1</x:v>
      </x:c>
      <x:c r="F185" s="15" t="n">
        <x:v>62</x:v>
      </x:c>
      <x:c r="G185" s="15" t="n">
        <x:v>44</x:v>
      </x:c>
      <x:c r="H185" s="15" t="n">
        <x:v>2</x:v>
      </x:c>
      <x:c r="I185" s="15" t="str">
        <x:v>CONCRETADA</x:v>
      </x:c>
      <x:c r="J185" s="15" t="n">
        <x:v>1</x:v>
      </x:c>
      <x:c r="K185" s="15" t="str">
        <x:v>true</x:v>
      </x:c>
      <x:c r="L185" s="15" t="n">
        <x:v>7670.11</x:v>
      </x:c>
      <x:c r="M185" s="15" t="n">
        <x:v>3</x:v>
      </x:c>
      <x:c r="N185" s="15" t="n">
        <x:v>3</x:v>
      </x:c>
      <x:c r="O185" s="15" t="str">
        <x:v>ABIERTA</x:v>
      </x:c>
      <x:c r="P185" s="15" t="str">
        <x:v>Lino liviano DEMO</x:v>
      </x:c>
      <x:c r="Q185" s="15" t="str">
        <x:v>LIVIANO</x:v>
      </x:c>
      <x:c r="R185" s="15" t="str">
        <x:v>m² simulado</x:v>
      </x:c>
      <x:c r="S185" s="15" t="n">
        <x:v>1.12</x:v>
      </x:c>
      <x:c r="T185" s="15" t="n">
        <x:v>10.08</x:v>
      </x:c>
      <x:c r="U185" s="15" t="n">
        <x:v>28</x:v>
      </x:c>
      <x:c r="V185" s="15" t="n">
        <x:v>0</x:v>
      </x:c>
      <x:c r="W185" s="15" t="str">
        <x:v>SUFICIENTE_EN_ESCENARIO</x:v>
      </x:c>
      <x:c r="X185" s="15" t="n">
        <x:v>108</x:v>
      </x:c>
      <x:c r="Y185" s="15" t="n">
        <x:v>972</x:v>
      </x:c>
      <x:c r="Z185" s="15" t="n">
        <x:v>77.37</x:v>
      </x:c>
      <x:c r="AA185" s="28" t="n">
        <x:v>894.63</x:v>
      </x:c>
      <x:c r="AB185" s="15" t="n">
        <x:v>22</x:v>
      </x:c>
      <x:c r="AC185" s="28" t="n">
        <x:v>221.76</x:v>
      </x:c>
      <x:c r="AD185" s="28" t="n">
        <x:v>672.87</x:v>
      </x:c>
      <x:c r="AE185" s="15" t="str">
        <x:v>FACTIBLE_CON_REGLAS_SINTETICAS</x:v>
      </x:c>
      <x:c r="AF185" s="15" t="str">
        <x:v>true</x:v>
      </x:c>
    </x:row>
    <x:row r="186">
      <x:c r="A186" s="15" t="str">
        <x:v>SYN-185</x:v>
      </x:c>
      <x:c r="B186" s="15" t="str">
        <x:v>Toldos</x:v>
      </x:c>
      <x:c r="C186" s="15" t="n">
        <x:v>17.3</x:v>
      </x:c>
      <x:c r="D186" s="15" t="n">
        <x:v>1</x:v>
      </x:c>
      <x:c r="E186" s="15" t="n">
        <x:v>1</x:v>
      </x:c>
      <x:c r="F186" s="15" t="n">
        <x:v>8</x:v>
      </x:c>
      <x:c r="G186" s="15" t="n">
        <x:v>84</x:v>
      </x:c>
      <x:c r="H186" s="15" t="n">
        <x:v>0</x:v>
      </x:c>
      <x:c r="I186" s="15" t="str">
        <x:v>CONCRETADA</x:v>
      </x:c>
      <x:c r="J186" s="15" t="n">
        <x:v>1</x:v>
      </x:c>
      <x:c r="K186" s="15" t="str">
        <x:v>true</x:v>
      </x:c>
      <x:c r="L186" s="15" t="n">
        <x:v>407.86</x:v>
      </x:c>
      <x:c r="M186" s="15" t="n">
        <x:v>6</x:v>
      </x:c>
      <x:c r="N186" s="15" t="n">
        <x:v>4</x:v>
      </x:c>
      <x:c r="O186" s="15" t="str">
        <x:v>NO_APLICA</x:v>
      </x:c>
      <x:c r="P186" s="15" t="str">
        <x:v>Lona orillo rojo DEMO</x:v>
      </x:c>
      <x:c r="Q186" s="15" t="str">
        <x:v>ESTANDAR</x:v>
      </x:c>
      <x:c r="R186" s="15" t="str">
        <x:v>m² simulado</x:v>
      </x:c>
      <x:c r="S186" s="15" t="n">
        <x:v>1.1</x:v>
      </x:c>
      <x:c r="T186" s="15" t="n">
        <x:v>26.4</x:v>
      </x:c>
      <x:c r="U186" s="15" t="n">
        <x:v>18</x:v>
      </x:c>
      <x:c r="V186" s="15" t="n">
        <x:v>8.4</x:v>
      </x:c>
      <x:c r="W186" s="15" t="str">
        <x:v>FALTANTE_EN_ESCENARIO</x:v>
      </x:c>
      <x:c r="X186" s="15" t="n">
        <x:v>122</x:v>
      </x:c>
      <x:c r="Y186" s="15" t="n">
        <x:v>2928</x:v>
      </x:c>
      <x:c r="Z186" s="15" t="n">
        <x:v>506.54</x:v>
      </x:c>
      <x:c r="AA186" s="28" t="n">
        <x:v>2421.46</x:v>
      </x:c>
      <x:c r="AB186" s="15" t="n">
        <x:v>26</x:v>
      </x:c>
      <x:c r="AC186" s="28" t="n">
        <x:v>686.4</x:v>
      </x:c>
      <x:c r="AD186" s="28" t="n">
        <x:v>1735.06</x:v>
      </x:c>
      <x:c r="AE186" s="15" t="str">
        <x:v>FALTA_STOCK</x:v>
      </x:c>
      <x:c r="AF186" s="15" t="str">
        <x:v>true</x:v>
      </x:c>
    </x:row>
    <x:row r="187">
      <x:c r="A187" s="15" t="str">
        <x:v>SYN-186</x:v>
      </x:c>
      <x:c r="B187" s="15" t="str">
        <x:v>Tapizado de moto</x:v>
      </x:c>
      <x:c r="C187" s="15" t="n">
        <x:v>14.73</x:v>
      </x:c>
      <x:c r="D187" s="15" t="n">
        <x:v>1</x:v>
      </x:c>
      <x:c r="E187" s="15" t="n">
        <x:v>0</x:v>
      </x:c>
      <x:c r="F187" s="15" t="n">
        <x:v>30</x:v>
      </x:c>
      <x:c r="G187" s="15" t="n">
        <x:v>29</x:v>
      </x:c>
      <x:c r="H187" s="15" t="n">
        <x:v>14</x:v>
      </x:c>
      <x:c r="I187" s="15" t="str">
        <x:v>CONCRETADA</x:v>
      </x:c>
      <x:c r="J187" s="15" t="n">
        <x:v>1</x:v>
      </x:c>
      <x:c r="K187" s="15" t="str">
        <x:v>true</x:v>
      </x:c>
      <x:c r="L187" s="15" t="n">
        <x:v>6964.19</x:v>
      </x:c>
      <x:c r="M187" s="15" t="n">
        <x:v>2</x:v>
      </x:c>
      <x:c r="N187" s="15" t="n">
        <x:v>2</x:v>
      </x:c>
      <x:c r="O187" s="15" t="str">
        <x:v>NO_APLICA</x:v>
      </x:c>
      <x:c r="P187" s="15" t="str">
        <x:v>Oxford DEMO</x:v>
      </x:c>
      <x:c r="Q187" s="15" t="str">
        <x:v>NO_APLICA</x:v>
      </x:c>
      <x:c r="R187" s="15" t="str">
        <x:v>m² equivalente DEMO</x:v>
      </x:c>
      <x:c r="S187" s="15" t="n">
        <x:v>0.55</x:v>
      </x:c>
      <x:c r="T187" s="15" t="n">
        <x:v>2.2</x:v>
      </x:c>
      <x:c r="U187" s="15" t="n">
        <x:v>9</x:v>
      </x:c>
      <x:c r="V187" s="15" t="n">
        <x:v>0</x:v>
      </x:c>
      <x:c r="W187" s="15" t="str">
        <x:v>SUFICIENTE_EN_ESCENARIO</x:v>
      </x:c>
      <x:c r="X187" s="15" t="n">
        <x:v>155</x:v>
      </x:c>
      <x:c r="Y187" s="15" t="n">
        <x:v>620</x:v>
      </x:c>
      <x:c r="Z187" s="15" t="n">
        <x:v>91.33</x:v>
      </x:c>
      <x:c r="AA187" s="28" t="n">
        <x:v>528.67</x:v>
      </x:c>
      <x:c r="AB187" s="15" t="n">
        <x:v>38</x:v>
      </x:c>
      <x:c r="AC187" s="28" t="n">
        <x:v>83.6</x:v>
      </x:c>
      <x:c r="AD187" s="28" t="n">
        <x:v>445.07</x:v>
      </x:c>
      <x:c r="AE187" s="15" t="str">
        <x:v>FACTIBLE_CON_REGLAS_SINTETICAS</x:v>
      </x:c>
      <x:c r="AF187" s="15" t="str">
        <x:v>true</x:v>
      </x:c>
    </x:row>
    <x:row r="188">
      <x:c r="A188" s="15" t="str">
        <x:v>SYN-187</x:v>
      </x:c>
      <x:c r="B188" s="15" t="str">
        <x:v>Carpas</x:v>
      </x:c>
      <x:c r="C188" s="15" t="n">
        <x:v>11.25</x:v>
      </x:c>
      <x:c r="D188" s="15" t="n">
        <x:v>1</x:v>
      </x:c>
      <x:c r="E188" s="15" t="n">
        <x:v>1</x:v>
      </x:c>
      <x:c r="F188" s="15" t="n">
        <x:v>45</x:v>
      </x:c>
      <x:c r="G188" s="15" t="n">
        <x:v>65</x:v>
      </x:c>
      <x:c r="H188" s="15" t="n">
        <x:v>14</x:v>
      </x:c>
      <x:c r="I188" s="15" t="str">
        <x:v>CONCRETADA</x:v>
      </x:c>
      <x:c r="J188" s="15" t="n">
        <x:v>1</x:v>
      </x:c>
      <x:c r="K188" s="15" t="str">
        <x:v>true</x:v>
      </x:c>
      <x:c r="L188" s="15" t="n">
        <x:v>2721.57</x:v>
      </x:c>
      <x:c r="M188" s="15" t="n">
        <x:v>3</x:v>
      </x:c>
      <x:c r="N188" s="15" t="n">
        <x:v>3</x:v>
      </x:c>
      <x:c r="O188" s="15" t="str">
        <x:v>CERRADA</x:v>
      </x:c>
      <x:c r="P188" s="15" t="str">
        <x:v>Lino liviano DEMO</x:v>
      </x:c>
      <x:c r="Q188" s="15" t="str">
        <x:v>LIVIANO</x:v>
      </x:c>
      <x:c r="R188" s="15" t="str">
        <x:v>m² simulado</x:v>
      </x:c>
      <x:c r="S188" s="15" t="n">
        <x:v>1.55</x:v>
      </x:c>
      <x:c r="T188" s="15" t="n">
        <x:v>13.95</x:v>
      </x:c>
      <x:c r="U188" s="15" t="n">
        <x:v>28</x:v>
      </x:c>
      <x:c r="V188" s="15" t="n">
        <x:v>0</x:v>
      </x:c>
      <x:c r="W188" s="15" t="str">
        <x:v>SUFICIENTE_EN_ESCENARIO</x:v>
      </x:c>
      <x:c r="X188" s="15" t="n">
        <x:v>108</x:v>
      </x:c>
      <x:c r="Y188" s="15" t="n">
        <x:v>1312.2</x:v>
      </x:c>
      <x:c r="Z188" s="15" t="n">
        <x:v>147.62</x:v>
      </x:c>
      <x:c r="AA188" s="28" t="n">
        <x:v>1164.58</x:v>
      </x:c>
      <x:c r="AB188" s="15" t="n">
        <x:v>22</x:v>
      </x:c>
      <x:c r="AC188" s="28" t="n">
        <x:v>306.9</x:v>
      </x:c>
      <x:c r="AD188" s="28" t="n">
        <x:v>857.68</x:v>
      </x:c>
      <x:c r="AE188" s="15" t="str">
        <x:v>FACTIBLE_CON_REGLAS_SINTETICAS</x:v>
      </x:c>
      <x:c r="AF188" s="15" t="str">
        <x:v>true</x:v>
      </x:c>
    </x:row>
    <x:row r="189">
      <x:c r="A189" s="15" t="str">
        <x:v>SYN-188</x:v>
      </x:c>
      <x:c r="B189" s="15" t="str">
        <x:v>Toldos</x:v>
      </x:c>
      <x:c r="C189" s="15" t="n">
        <x:v>15.53</x:v>
      </x:c>
      <x:c r="D189" s="15" t="n">
        <x:v>1</x:v>
      </x:c>
      <x:c r="E189" s="15" t="n">
        <x:v>1</x:v>
      </x:c>
      <x:c r="F189" s="15" t="n">
        <x:v>30</x:v>
      </x:c>
      <x:c r="G189" s="15" t="n">
        <x:v>9</x:v>
      </x:c>
      <x:c r="H189" s="15" t="n">
        <x:v>15</x:v>
      </x:c>
      <x:c r="I189" s="15" t="str">
        <x:v>CONCRETADA</x:v>
      </x:c>
      <x:c r="J189" s="15" t="n">
        <x:v>1</x:v>
      </x:c>
      <x:c r="K189" s="15" t="str">
        <x:v>true</x:v>
      </x:c>
      <x:c r="L189" s="15" t="n">
        <x:v>7983.12</x:v>
      </x:c>
      <x:c r="M189" s="15" t="n">
        <x:v>3</x:v>
      </x:c>
      <x:c r="N189" s="15" t="n">
        <x:v>3</x:v>
      </x:c>
      <x:c r="O189" s="15" t="str">
        <x:v>NO_APLICA</x:v>
      </x:c>
      <x:c r="P189" s="15" t="str">
        <x:v>Lona orillo rojo DEMO</x:v>
      </x:c>
      <x:c r="Q189" s="15" t="str">
        <x:v>ESTANDAR</x:v>
      </x:c>
      <x:c r="R189" s="15" t="str">
        <x:v>m² simulado</x:v>
      </x:c>
      <x:c r="S189" s="15" t="n">
        <x:v>1.1</x:v>
      </x:c>
      <x:c r="T189" s="15" t="n">
        <x:v>9.9</x:v>
      </x:c>
      <x:c r="U189" s="15" t="n">
        <x:v>18</x:v>
      </x:c>
      <x:c r="V189" s="15" t="n">
        <x:v>0</x:v>
      </x:c>
      <x:c r="W189" s="15" t="str">
        <x:v>SUFICIENTE_EN_ESCENARIO</x:v>
      </x:c>
      <x:c r="X189" s="15" t="n">
        <x:v>122</x:v>
      </x:c>
      <x:c r="Y189" s="15" t="n">
        <x:v>1098</x:v>
      </x:c>
      <x:c r="Z189" s="15" t="n">
        <x:v>170.52</x:v>
      </x:c>
      <x:c r="AA189" s="28" t="n">
        <x:v>927.48</x:v>
      </x:c>
      <x:c r="AB189" s="15" t="n">
        <x:v>26</x:v>
      </x:c>
      <x:c r="AC189" s="28" t="n">
        <x:v>257.4</x:v>
      </x:c>
      <x:c r="AD189" s="28" t="n">
        <x:v>670.08</x:v>
      </x:c>
      <x:c r="AE189" s="15" t="str">
        <x:v>FACTIBLE_CON_REGLAS_SINTETICAS</x:v>
      </x:c>
      <x:c r="AF189" s="15" t="str">
        <x:v>true</x:v>
      </x:c>
    </x:row>
    <x:row r="190">
      <x:c r="A190" s="15" t="str">
        <x:v>SYN-189</x:v>
      </x:c>
      <x:c r="B190" s="15" t="str">
        <x:v>Tapizado de moto</x:v>
      </x:c>
      <x:c r="C190" s="15" t="n">
        <x:v>4.04</x:v>
      </x:c>
      <x:c r="D190" s="15" t="n">
        <x:v>0</x:v>
      </x:c>
      <x:c r="E190" s="15" t="n">
        <x:v>0</x:v>
      </x:c>
      <x:c r="F190" s="15" t="n">
        <x:v>16</x:v>
      </x:c>
      <x:c r="G190" s="15" t="n">
        <x:v>87</x:v>
      </x:c>
      <x:c r="H190" s="15" t="n">
        <x:v>14</x:v>
      </x:c>
      <x:c r="I190" s="15" t="str">
        <x:v>CONCRETADA</x:v>
      </x:c>
      <x:c r="J190" s="15" t="n">
        <x:v>1</x:v>
      </x:c>
      <x:c r="K190" s="15" t="str">
        <x:v>true</x:v>
      </x:c>
      <x:c r="L190" s="15" t="n">
        <x:v>2963.6</x:v>
      </x:c>
      <x:c r="M190" s="15" t="n">
        <x:v>3</x:v>
      </x:c>
      <x:c r="N190" s="15" t="n">
        <x:v>2</x:v>
      </x:c>
      <x:c r="O190" s="15" t="str">
        <x:v>NO_APLICA</x:v>
      </x:c>
      <x:c r="P190" s="15" t="str">
        <x:v>Oxford DEMO</x:v>
      </x:c>
      <x:c r="Q190" s="15" t="str">
        <x:v>NO_APLICA</x:v>
      </x:c>
      <x:c r="R190" s="15" t="str">
        <x:v>m² equivalente DEMO</x:v>
      </x:c>
      <x:c r="S190" s="15" t="n">
        <x:v>0.55</x:v>
      </x:c>
      <x:c r="T190" s="15" t="n">
        <x:v>3.3</x:v>
      </x:c>
      <x:c r="U190" s="15" t="n">
        <x:v>9</x:v>
      </x:c>
      <x:c r="V190" s="15" t="n">
        <x:v>0</x:v>
      </x:c>
      <x:c r="W190" s="15" t="str">
        <x:v>SUFICIENTE_EN_ESCENARIO</x:v>
      </x:c>
      <x:c r="X190" s="15" t="n">
        <x:v>155</x:v>
      </x:c>
      <x:c r="Y190" s="15" t="n">
        <x:v>930</x:v>
      </x:c>
      <x:c r="Z190" s="15" t="n">
        <x:v>37.57</x:v>
      </x:c>
      <x:c r="AA190" s="28" t="n">
        <x:v>892.43</x:v>
      </x:c>
      <x:c r="AB190" s="15" t="n">
        <x:v>38</x:v>
      </x:c>
      <x:c r="AC190" s="28" t="n">
        <x:v>125.4</x:v>
      </x:c>
      <x:c r="AD190" s="28" t="n">
        <x:v>767.03</x:v>
      </x:c>
      <x:c r="AE190" s="15" t="str">
        <x:v>REVISAR_DATOS</x:v>
      </x:c>
      <x:c r="AF190" s="15" t="str">
        <x:v>true</x:v>
      </x:c>
    </x:row>
    <x:row r="191">
      <x:c r="A191" s="15" t="str">
        <x:v>SYN-190</x:v>
      </x:c>
      <x:c r="B191" s="15" t="str">
        <x:v>Carpas</x:v>
      </x:c>
      <x:c r="C191" s="15" t="n">
        <x:v>13.66</x:v>
      </x:c>
      <x:c r="D191" s="15" t="n">
        <x:v>0</x:v>
      </x:c>
      <x:c r="E191" s="15" t="n">
        <x:v>0</x:v>
      </x:c>
      <x:c r="F191" s="15" t="n">
        <x:v>22</x:v>
      </x:c>
      <x:c r="G191" s="15" t="n">
        <x:v>28</x:v>
      </x:c>
      <x:c r="H191" s="15" t="n">
        <x:v>18</x:v>
      </x:c>
      <x:c r="I191" s="15" t="str">
        <x:v>NO_CONCRETADA</x:v>
      </x:c>
      <x:c r="J191" s="15" t="n">
        <x:v>0</x:v>
      </x:c>
      <x:c r="K191" s="15" t="str">
        <x:v>true</x:v>
      </x:c>
      <x:c r="L191" s="15" t="n">
        <x:v>5502.1</x:v>
      </x:c>
      <x:c r="M191" s="15" t="n">
        <x:v>5</x:v>
      </x:c>
      <x:c r="N191" s="15" t="n">
        <x:v>4</x:v>
      </x:c>
      <x:c r="O191" s="15" t="str">
        <x:v>CERRADA</x:v>
      </x:c>
      <x:c r="P191" s="15" t="str">
        <x:v>Lino liviano DEMO</x:v>
      </x:c>
      <x:c r="Q191" s="15" t="str">
        <x:v>LIVIANO</x:v>
      </x:c>
      <x:c r="R191" s="15" t="str">
        <x:v>m² simulado</x:v>
      </x:c>
      <x:c r="S191" s="15" t="n">
        <x:v>1.55</x:v>
      </x:c>
      <x:c r="T191" s="15" t="n">
        <x:v>31</x:v>
      </x:c>
      <x:c r="U191" s="15" t="n">
        <x:v>28</x:v>
      </x:c>
      <x:c r="V191" s="15" t="n">
        <x:v>3</x:v>
      </x:c>
      <x:c r="W191" s="15" t="str">
        <x:v>FALTANTE_EN_ESCENARIO</x:v>
      </x:c>
      <x:c r="X191" s="15" t="n">
        <x:v>108</x:v>
      </x:c>
      <x:c r="Y191" s="15" t="n">
        <x:v>2916</x:v>
      </x:c>
      <x:c r="Z191" s="15" t="n">
        <x:v>398.33</x:v>
      </x:c>
      <x:c r="AA191" s="28" t="n">
        <x:v>2517.67</x:v>
      </x:c>
      <x:c r="AB191" s="15" t="n">
        <x:v>22</x:v>
      </x:c>
      <x:c r="AC191" s="28" t="n">
        <x:v>682</x:v>
      </x:c>
      <x:c r="AD191" s="28" t="n">
        <x:v>1835.67</x:v>
      </x:c>
      <x:c r="AE191" s="15" t="str">
        <x:v>REVISAR_DATOS</x:v>
      </x:c>
      <x:c r="AF191" s="15" t="str">
        <x:v>true</x:v>
      </x:c>
    </x:row>
    <x:row r="192">
      <x:c r="A192" s="15" t="str">
        <x:v>SYN-191</x:v>
      </x:c>
      <x:c r="B192" s="15" t="str">
        <x:v>Toldos</x:v>
      </x:c>
      <x:c r="C192" s="15" t="n">
        <x:v>18.38</x:v>
      </x:c>
      <x:c r="D192" s="15" t="n">
        <x:v>1</x:v>
      </x:c>
      <x:c r="E192" s="15" t="n">
        <x:v>1</x:v>
      </x:c>
      <x:c r="F192" s="15" t="n">
        <x:v>2</x:v>
      </x:c>
      <x:c r="G192" s="15" t="n">
        <x:v>90</x:v>
      </x:c>
      <x:c r="H192" s="15" t="n">
        <x:v>13</x:v>
      </x:c>
      <x:c r="I192" s="15" t="str">
        <x:v>CONCRETADA</x:v>
      </x:c>
      <x:c r="J192" s="15" t="n">
        <x:v>1</x:v>
      </x:c>
      <x:c r="K192" s="15" t="str">
        <x:v>true</x:v>
      </x:c>
      <x:c r="L192" s="15" t="n">
        <x:v>8066.25</x:v>
      </x:c>
      <x:c r="M192" s="15" t="n">
        <x:v>3</x:v>
      </x:c>
      <x:c r="N192" s="15" t="n">
        <x:v>2</x:v>
      </x:c>
      <x:c r="O192" s="15" t="str">
        <x:v>NO_APLICA</x:v>
      </x:c>
      <x:c r="P192" s="15" t="str">
        <x:v>Lona orillo azul DEMO</x:v>
      </x:c>
      <x:c r="Q192" s="15" t="str">
        <x:v>ESTANDAR</x:v>
      </x:c>
      <x:c r="R192" s="15" t="str">
        <x:v>m² simulado</x:v>
      </x:c>
      <x:c r="S192" s="15" t="n">
        <x:v>1.1</x:v>
      </x:c>
      <x:c r="T192" s="15" t="n">
        <x:v>6.6</x:v>
      </x:c>
      <x:c r="U192" s="15" t="n">
        <x:v>22</x:v>
      </x:c>
      <x:c r="V192" s="15" t="n">
        <x:v>0</x:v>
      </x:c>
      <x:c r="W192" s="15" t="str">
        <x:v>SUFICIENTE_EN_ESCENARIO</x:v>
      </x:c>
      <x:c r="X192" s="15" t="n">
        <x:v>120</x:v>
      </x:c>
      <x:c r="Y192" s="15" t="n">
        <x:v>720</x:v>
      </x:c>
      <x:c r="Z192" s="15" t="n">
        <x:v>132.34</x:v>
      </x:c>
      <x:c r="AA192" s="28" t="n">
        <x:v>587.66</x:v>
      </x:c>
      <x:c r="AB192" s="15" t="n">
        <x:v>25</x:v>
      </x:c>
      <x:c r="AC192" s="28" t="n">
        <x:v>165</x:v>
      </x:c>
      <x:c r="AD192" s="28" t="n">
        <x:v>422.66</x:v>
      </x:c>
      <x:c r="AE192" s="15" t="str">
        <x:v>FACTIBLE_CON_REGLAS_SINTETICAS</x:v>
      </x:c>
      <x:c r="AF192" s="15" t="str">
        <x:v>true</x:v>
      </x:c>
    </x:row>
    <x:row r="193">
      <x:c r="A193" s="15" t="str">
        <x:v>SYN-192</x:v>
      </x:c>
      <x:c r="B193" s="15" t="str">
        <x:v>Tapizado de moto</x:v>
      </x:c>
      <x:c r="C193" s="15" t="n">
        <x:v>18.93</x:v>
      </x:c>
      <x:c r="D193" s="15" t="n">
        <x:v>1</x:v>
      </x:c>
      <x:c r="E193" s="15" t="n">
        <x:v>1</x:v>
      </x:c>
      <x:c r="F193" s="15" t="n">
        <x:v>31</x:v>
      </x:c>
      <x:c r="G193" s="15" t="n">
        <x:v>49</x:v>
      </x:c>
      <x:c r="H193" s="15" t="n">
        <x:v>15</x:v>
      </x:c>
      <x:c r="I193" s="15" t="str">
        <x:v>CONCRETADA</x:v>
      </x:c>
      <x:c r="J193" s="15" t="n">
        <x:v>1</x:v>
      </x:c>
      <x:c r="K193" s="15" t="str">
        <x:v>true</x:v>
      </x:c>
      <x:c r="L193" s="15" t="n">
        <x:v>3921.17</x:v>
      </x:c>
      <x:c r="M193" s="15" t="n">
        <x:v>5</x:v>
      </x:c>
      <x:c r="N193" s="15" t="n">
        <x:v>4</x:v>
      </x:c>
      <x:c r="O193" s="15" t="str">
        <x:v>NO_APLICA</x:v>
      </x:c>
      <x:c r="P193" s="15" t="str">
        <x:v>Oxford DEMO</x:v>
      </x:c>
      <x:c r="Q193" s="15" t="str">
        <x:v>NO_APLICA</x:v>
      </x:c>
      <x:c r="R193" s="15" t="str">
        <x:v>m² equivalente DEMO</x:v>
      </x:c>
      <x:c r="S193" s="15" t="n">
        <x:v>0.55</x:v>
      </x:c>
      <x:c r="T193" s="15" t="n">
        <x:v>11</x:v>
      </x:c>
      <x:c r="U193" s="15" t="n">
        <x:v>9</x:v>
      </x:c>
      <x:c r="V193" s="15" t="n">
        <x:v>2</x:v>
      </x:c>
      <x:c r="W193" s="15" t="str">
        <x:v>FALTANTE_EN_ESCENARIO</x:v>
      </x:c>
      <x:c r="X193" s="15" t="n">
        <x:v>155</x:v>
      </x:c>
      <x:c r="Y193" s="15" t="n">
        <x:v>3100</x:v>
      </x:c>
      <x:c r="Z193" s="15" t="n">
        <x:v>586.83</x:v>
      </x:c>
      <x:c r="AA193" s="28" t="n">
        <x:v>2513.17</x:v>
      </x:c>
      <x:c r="AB193" s="15" t="n">
        <x:v>38</x:v>
      </x:c>
      <x:c r="AC193" s="28" t="n">
        <x:v>418</x:v>
      </x:c>
      <x:c r="AD193" s="28" t="n">
        <x:v>2095.17</x:v>
      </x:c>
      <x:c r="AE193" s="15" t="str">
        <x:v>FALTA_STOCK</x:v>
      </x:c>
      <x:c r="AF193" s="15" t="str">
        <x:v>true</x:v>
      </x:c>
    </x:row>
    <x:row r="194">
      <x:c r="A194" s="15" t="str">
        <x:v>SYN-193</x:v>
      </x:c>
      <x:c r="B194" s="15" t="str">
        <x:v>Carpas</x:v>
      </x:c>
      <x:c r="C194" s="15" t="n">
        <x:v>19.45</x:v>
      </x:c>
      <x:c r="D194" s="15" t="n">
        <x:v>1</x:v>
      </x:c>
      <x:c r="E194" s="15" t="n">
        <x:v>0</x:v>
      </x:c>
      <x:c r="F194" s="15" t="n">
        <x:v>5</x:v>
      </x:c>
      <x:c r="G194" s="15" t="n">
        <x:v>79</x:v>
      </x:c>
      <x:c r="H194" s="15" t="n">
        <x:v>6</x:v>
      </x:c>
      <x:c r="I194" s="15" t="str">
        <x:v>CONCRETADA</x:v>
      </x:c>
      <x:c r="J194" s="15" t="n">
        <x:v>1</x:v>
      </x:c>
      <x:c r="K194" s="15" t="str">
        <x:v>true</x:v>
      </x:c>
      <x:c r="L194" s="15" t="n">
        <x:v>3059.25</x:v>
      </x:c>
      <x:c r="M194" s="15" t="n">
        <x:v>4</x:v>
      </x:c>
      <x:c r="N194" s="15" t="n">
        <x:v>3</x:v>
      </x:c>
      <x:c r="O194" s="15" t="str">
        <x:v>ABIERTA</x:v>
      </x:c>
      <x:c r="P194" s="15" t="str">
        <x:v>Lino económico DEMO</x:v>
      </x:c>
      <x:c r="Q194" s="15" t="str">
        <x:v>ECONOMICO</x:v>
      </x:c>
      <x:c r="R194" s="15" t="str">
        <x:v>m² simulado</x:v>
      </x:c>
      <x:c r="S194" s="15" t="n">
        <x:v>1.12</x:v>
      </x:c>
      <x:c r="T194" s="15" t="n">
        <x:v>13.44</x:v>
      </x:c>
      <x:c r="U194" s="15" t="n">
        <x:v>32</x:v>
      </x:c>
      <x:c r="V194" s="15" t="n">
        <x:v>0</x:v>
      </x:c>
      <x:c r="W194" s="15" t="str">
        <x:v>SUFICIENTE_EN_ESCENARIO</x:v>
      </x:c>
      <x:c r="X194" s="15" t="n">
        <x:v>95</x:v>
      </x:c>
      <x:c r="Y194" s="15" t="n">
        <x:v>1140</x:v>
      </x:c>
      <x:c r="Z194" s="15" t="n">
        <x:v>221.73</x:v>
      </x:c>
      <x:c r="AA194" s="28" t="n">
        <x:v>918.27</x:v>
      </x:c>
      <x:c r="AB194" s="15" t="n">
        <x:v>18</x:v>
      </x:c>
      <x:c r="AC194" s="28" t="n">
        <x:v>241.92</x:v>
      </x:c>
      <x:c r="AD194" s="28" t="n">
        <x:v>676.35</x:v>
      </x:c>
      <x:c r="AE194" s="15" t="str">
        <x:v>FACTIBLE_CON_REGLAS_SINTETICAS</x:v>
      </x:c>
      <x:c r="AF194" s="15" t="str">
        <x:v>true</x:v>
      </x:c>
    </x:row>
    <x:row r="195">
      <x:c r="A195" s="15" t="str">
        <x:v>SYN-194</x:v>
      </x:c>
      <x:c r="B195" s="15" t="str">
        <x:v>Toldos</x:v>
      </x:c>
      <x:c r="C195" s="15" t="n">
        <x:v>19.9</x:v>
      </x:c>
      <x:c r="D195" s="15" t="n">
        <x:v>0</x:v>
      </x:c>
      <x:c r="E195" s="15" t="n">
        <x:v>0</x:v>
      </x:c>
      <x:c r="F195" s="15" t="n">
        <x:v>5</x:v>
      </x:c>
      <x:c r="G195" s="15" t="n">
        <x:v>86</x:v>
      </x:c>
      <x:c r="H195" s="15" t="n">
        <x:v>17</x:v>
      </x:c>
      <x:c r="I195" s="15" t="str">
        <x:v>NO_CONCRETADA</x:v>
      </x:c>
      <x:c r="J195" s="15" t="n">
        <x:v>0</x:v>
      </x:c>
      <x:c r="K195" s="15" t="str">
        <x:v>true</x:v>
      </x:c>
      <x:c r="L195" s="15" t="n">
        <x:v>5555.12</x:v>
      </x:c>
      <x:c r="M195" s="15" t="n">
        <x:v>6</x:v>
      </x:c>
      <x:c r="N195" s="15" t="n">
        <x:v>4</x:v>
      </x:c>
      <x:c r="O195" s="15" t="str">
        <x:v>NO_APLICA</x:v>
      </x:c>
      <x:c r="P195" s="15" t="str">
        <x:v>Tarflex DEMO</x:v>
      </x:c>
      <x:c r="Q195" s="15" t="str">
        <x:v>ESTANDAR</x:v>
      </x:c>
      <x:c r="R195" s="15" t="str">
        <x:v>m² simulado</x:v>
      </x:c>
      <x:c r="S195" s="15" t="n">
        <x:v>1.1</x:v>
      </x:c>
      <x:c r="T195" s="15" t="n">
        <x:v>26.4</x:v>
      </x:c>
      <x:c r="U195" s="15" t="n">
        <x:v>24</x:v>
      </x:c>
      <x:c r="V195" s="15" t="n">
        <x:v>2.4</x:v>
      </x:c>
      <x:c r="W195" s="15" t="str">
        <x:v>FALTANTE_EN_ESCENARIO</x:v>
      </x:c>
      <x:c r="X195" s="15" t="n">
        <x:v>112</x:v>
      </x:c>
      <x:c r="Y195" s="15" t="n">
        <x:v>2688</x:v>
      </x:c>
      <x:c r="Z195" s="15" t="n">
        <x:v>534.91</x:v>
      </x:c>
      <x:c r="AA195" s="28" t="n">
        <x:v>2153.09</x:v>
      </x:c>
      <x:c r="AB195" s="15" t="n">
        <x:v>23</x:v>
      </x:c>
      <x:c r="AC195" s="28" t="n">
        <x:v>607.2</x:v>
      </x:c>
      <x:c r="AD195" s="28" t="n">
        <x:v>1545.89</x:v>
      </x:c>
      <x:c r="AE195" s="15" t="str">
        <x:v>REVISAR_DATOS</x:v>
      </x:c>
      <x:c r="AF195" s="15" t="str">
        <x:v>true</x:v>
      </x:c>
    </x:row>
    <x:row r="196">
      <x:c r="A196" s="15" t="str">
        <x:v>SYN-195</x:v>
      </x:c>
      <x:c r="B196" s="15" t="str">
        <x:v>Tapizado de moto</x:v>
      </x:c>
      <x:c r="C196" s="15" t="n">
        <x:v>0.19</x:v>
      </x:c>
      <x:c r="D196" s="15" t="n">
        <x:v>0</x:v>
      </x:c>
      <x:c r="E196" s="15" t="n">
        <x:v>0</x:v>
      </x:c>
      <x:c r="F196" s="15" t="n">
        <x:v>38</x:v>
      </x:c>
      <x:c r="G196" s="15" t="n">
        <x:v>63</x:v>
      </x:c>
      <x:c r="H196" s="15" t="n">
        <x:v>12</x:v>
      </x:c>
      <x:c r="I196" s="15" t="str">
        <x:v>CONCRETADA</x:v>
      </x:c>
      <x:c r="J196" s="15" t="n">
        <x:v>1</x:v>
      </x:c>
      <x:c r="K196" s="15" t="str">
        <x:v>true</x:v>
      </x:c>
      <x:c r="L196" s="15" t="n">
        <x:v>4774.95</x:v>
      </x:c>
      <x:c r="M196" s="15" t="n">
        <x:v>2</x:v>
      </x:c>
      <x:c r="N196" s="15" t="n">
        <x:v>2</x:v>
      </x:c>
      <x:c r="O196" s="15" t="str">
        <x:v>NO_APLICA</x:v>
      </x:c>
      <x:c r="P196" s="15" t="str">
        <x:v>Oxford DEMO</x:v>
      </x:c>
      <x:c r="Q196" s="15" t="str">
        <x:v>NO_APLICA</x:v>
      </x:c>
      <x:c r="R196" s="15" t="str">
        <x:v>m² equivalente DEMO</x:v>
      </x:c>
      <x:c r="S196" s="15" t="n">
        <x:v>0.55</x:v>
      </x:c>
      <x:c r="T196" s="15" t="n">
        <x:v>2.2</x:v>
      </x:c>
      <x:c r="U196" s="15" t="n">
        <x:v>9</x:v>
      </x:c>
      <x:c r="V196" s="15" t="n">
        <x:v>0</x:v>
      </x:c>
      <x:c r="W196" s="15" t="str">
        <x:v>SUFICIENTE_EN_ESCENARIO</x:v>
      </x:c>
      <x:c r="X196" s="15" t="n">
        <x:v>155</x:v>
      </x:c>
      <x:c r="Y196" s="15" t="n">
        <x:v>620</x:v>
      </x:c>
      <x:c r="Z196" s="15" t="n">
        <x:v>1.18</x:v>
      </x:c>
      <x:c r="AA196" s="28" t="n">
        <x:v>618.82</x:v>
      </x:c>
      <x:c r="AB196" s="15" t="n">
        <x:v>38</x:v>
      </x:c>
      <x:c r="AC196" s="28" t="n">
        <x:v>83.6</x:v>
      </x:c>
      <x:c r="AD196" s="28" t="n">
        <x:v>535.22</x:v>
      </x:c>
      <x:c r="AE196" s="15" t="str">
        <x:v>REVISAR_DATOS</x:v>
      </x:c>
      <x:c r="AF196" s="15" t="str">
        <x:v>true</x:v>
      </x:c>
    </x:row>
    <x:row r="197">
      <x:c r="A197" s="15" t="str">
        <x:v>SYN-196</x:v>
      </x:c>
      <x:c r="B197" s="15" t="str">
        <x:v>Carpas</x:v>
      </x:c>
      <x:c r="C197" s="15" t="n">
        <x:v>16.7</x:v>
      </x:c>
      <x:c r="D197" s="15" t="n">
        <x:v>1</x:v>
      </x:c>
      <x:c r="E197" s="15" t="n">
        <x:v>0</x:v>
      </x:c>
      <x:c r="F197" s="15" t="n">
        <x:v>17</x:v>
      </x:c>
      <x:c r="G197" s="15" t="n">
        <x:v>70</x:v>
      </x:c>
      <x:c r="H197" s="15" t="n">
        <x:v>5</x:v>
      </x:c>
      <x:c r="I197" s="15" t="str">
        <x:v>CONCRETADA</x:v>
      </x:c>
      <x:c r="J197" s="15" t="n">
        <x:v>1</x:v>
      </x:c>
      <x:c r="K197" s="15" t="str">
        <x:v>true</x:v>
      </x:c>
      <x:c r="L197" s="15" t="n">
        <x:v>4717.37</x:v>
      </x:c>
      <x:c r="M197" s="15" t="n">
        <x:v>3</x:v>
      </x:c>
      <x:c r="N197" s="15" t="n">
        <x:v>3</x:v>
      </x:c>
      <x:c r="O197" s="15" t="str">
        <x:v>ABIERTA</x:v>
      </x:c>
      <x:c r="P197" s="15" t="str">
        <x:v>Lino liviano DEMO</x:v>
      </x:c>
      <x:c r="Q197" s="15" t="str">
        <x:v>LIVIANO</x:v>
      </x:c>
      <x:c r="R197" s="15" t="str">
        <x:v>m² simulado</x:v>
      </x:c>
      <x:c r="S197" s="15" t="n">
        <x:v>1.12</x:v>
      </x:c>
      <x:c r="T197" s="15" t="n">
        <x:v>10.08</x:v>
      </x:c>
      <x:c r="U197" s="15" t="n">
        <x:v>28</x:v>
      </x:c>
      <x:c r="V197" s="15" t="n">
        <x:v>0</x:v>
      </x:c>
      <x:c r="W197" s="15" t="str">
        <x:v>SUFICIENTE_EN_ESCENARIO</x:v>
      </x:c>
      <x:c r="X197" s="15" t="n">
        <x:v>108</x:v>
      </x:c>
      <x:c r="Y197" s="15" t="n">
        <x:v>972</x:v>
      </x:c>
      <x:c r="Z197" s="15" t="n">
        <x:v>162.32</x:v>
      </x:c>
      <x:c r="AA197" s="28" t="n">
        <x:v>809.68</x:v>
      </x:c>
      <x:c r="AB197" s="15" t="n">
        <x:v>22</x:v>
      </x:c>
      <x:c r="AC197" s="28" t="n">
        <x:v>221.76</x:v>
      </x:c>
      <x:c r="AD197" s="28" t="n">
        <x:v>587.92</x:v>
      </x:c>
      <x:c r="AE197" s="15" t="str">
        <x:v>FACTIBLE_CON_REGLAS_SINTETICAS</x:v>
      </x:c>
      <x:c r="AF197" s="15" t="str">
        <x:v>true</x:v>
      </x:c>
    </x:row>
    <x:row r="198">
      <x:c r="A198" s="15" t="str">
        <x:v>SYN-197</x:v>
      </x:c>
      <x:c r="B198" s="15" t="str">
        <x:v>Toldos</x:v>
      </x:c>
      <x:c r="C198" s="15" t="n">
        <x:v>1.5</x:v>
      </x:c>
      <x:c r="D198" s="15" t="n">
        <x:v>1</x:v>
      </x:c>
      <x:c r="E198" s="15" t="n">
        <x:v>0</x:v>
      </x:c>
      <x:c r="F198" s="15" t="n">
        <x:v>66</x:v>
      </x:c>
      <x:c r="G198" s="15" t="n">
        <x:v>6</x:v>
      </x:c>
      <x:c r="H198" s="15" t="n">
        <x:v>20</x:v>
      </x:c>
      <x:c r="I198" s="15" t="str">
        <x:v>CONCRETADA</x:v>
      </x:c>
      <x:c r="J198" s="15" t="n">
        <x:v>1</x:v>
      </x:c>
      <x:c r="K198" s="15" t="str">
        <x:v>true</x:v>
      </x:c>
      <x:c r="L198" s="15" t="n">
        <x:v>7941.2</x:v>
      </x:c>
      <x:c r="M198" s="15" t="n">
        <x:v>5</x:v>
      </x:c>
      <x:c r="N198" s="15" t="n">
        <x:v>4</x:v>
      </x:c>
      <x:c r="O198" s="15" t="str">
        <x:v>NO_APLICA</x:v>
      </x:c>
      <x:c r="P198" s="15" t="str">
        <x:v>Lona orillo azul DEMO</x:v>
      </x:c>
      <x:c r="Q198" s="15" t="str">
        <x:v>ESTANDAR</x:v>
      </x:c>
      <x:c r="R198" s="15" t="str">
        <x:v>m² simulado</x:v>
      </x:c>
      <x:c r="S198" s="15" t="n">
        <x:v>1.1</x:v>
      </x:c>
      <x:c r="T198" s="15" t="n">
        <x:v>22</x:v>
      </x:c>
      <x:c r="U198" s="15" t="n">
        <x:v>22</x:v>
      </x:c>
      <x:c r="V198" s="15" t="n">
        <x:v>0</x:v>
      </x:c>
      <x:c r="W198" s="15" t="str">
        <x:v>SUFICIENTE_EN_ESCENARIO</x:v>
      </x:c>
      <x:c r="X198" s="15" t="n">
        <x:v>120</x:v>
      </x:c>
      <x:c r="Y198" s="15" t="n">
        <x:v>2400</x:v>
      </x:c>
      <x:c r="Z198" s="15" t="n">
        <x:v>36</x:v>
      </x:c>
      <x:c r="AA198" s="28" t="n">
        <x:v>2364</x:v>
      </x:c>
      <x:c r="AB198" s="15" t="n">
        <x:v>25</x:v>
      </x:c>
      <x:c r="AC198" s="28" t="n">
        <x:v>550</x:v>
      </x:c>
      <x:c r="AD198" s="28" t="n">
        <x:v>1814</x:v>
      </x:c>
      <x:c r="AE198" s="15" t="str">
        <x:v>FACTIBLE_CON_REGLAS_SINTETICAS</x:v>
      </x:c>
      <x:c r="AF198" s="15" t="str">
        <x:v>true</x:v>
      </x:c>
    </x:row>
    <x:row r="199">
      <x:c r="A199" s="15" t="str">
        <x:v>SYN-198</x:v>
      </x:c>
      <x:c r="B199" s="15" t="str">
        <x:v>Tapizado de moto</x:v>
      </x:c>
      <x:c r="C199" s="15" t="n">
        <x:v>19.38</x:v>
      </x:c>
      <x:c r="D199" s="15" t="n">
        <x:v>1</x:v>
      </x:c>
      <x:c r="E199" s="15" t="n">
        <x:v>1</x:v>
      </x:c>
      <x:c r="F199" s="15" t="n">
        <x:v>75</x:v>
      </x:c>
      <x:c r="G199" s="15" t="n">
        <x:v>18</x:v>
      </x:c>
      <x:c r="H199" s="15" t="n">
        <x:v>15</x:v>
      </x:c>
      <x:c r="I199" s="15" t="str">
        <x:v>NO_CONCRETADA</x:v>
      </x:c>
      <x:c r="J199" s="15" t="n">
        <x:v>0</x:v>
      </x:c>
      <x:c r="K199" s="15" t="str">
        <x:v>true</x:v>
      </x:c>
      <x:c r="L199" s="15" t="n">
        <x:v>5966.83</x:v>
      </x:c>
      <x:c r="M199" s="15" t="n">
        <x:v>2</x:v>
      </x:c>
      <x:c r="N199" s="15" t="n">
        <x:v>2</x:v>
      </x:c>
      <x:c r="O199" s="15" t="str">
        <x:v>NO_APLICA</x:v>
      </x:c>
      <x:c r="P199" s="15" t="str">
        <x:v>Oxford DEMO</x:v>
      </x:c>
      <x:c r="Q199" s="15" t="str">
        <x:v>NO_APLICA</x:v>
      </x:c>
      <x:c r="R199" s="15" t="str">
        <x:v>m² equivalente DEMO</x:v>
      </x:c>
      <x:c r="S199" s="15" t="n">
        <x:v>0.55</x:v>
      </x:c>
      <x:c r="T199" s="15" t="n">
        <x:v>2.2</x:v>
      </x:c>
      <x:c r="U199" s="15" t="n">
        <x:v>9</x:v>
      </x:c>
      <x:c r="V199" s="15" t="n">
        <x:v>0</x:v>
      </x:c>
      <x:c r="W199" s="15" t="str">
        <x:v>SUFICIENTE_EN_ESCENARIO</x:v>
      </x:c>
      <x:c r="X199" s="15" t="n">
        <x:v>155</x:v>
      </x:c>
      <x:c r="Y199" s="15" t="n">
        <x:v>620</x:v>
      </x:c>
      <x:c r="Z199" s="15" t="n">
        <x:v>120.16</x:v>
      </x:c>
      <x:c r="AA199" s="28" t="n">
        <x:v>499.84</x:v>
      </x:c>
      <x:c r="AB199" s="15" t="n">
        <x:v>38</x:v>
      </x:c>
      <x:c r="AC199" s="28" t="n">
        <x:v>83.6</x:v>
      </x:c>
      <x:c r="AD199" s="28" t="n">
        <x:v>416.24</x:v>
      </x:c>
      <x:c r="AE199" s="15" t="str">
        <x:v>FACTIBLE_CON_REGLAS_SINTETICAS</x:v>
      </x:c>
      <x:c r="AF199" s="15" t="str">
        <x:v>true</x:v>
      </x:c>
    </x:row>
    <x:row r="200">
      <x:c r="A200" s="15" t="str">
        <x:v>SYN-199</x:v>
      </x:c>
      <x:c r="B200" s="15" t="str">
        <x:v>Carpas</x:v>
      </x:c>
      <x:c r="C200" s="15" t="n">
        <x:v>19.72</x:v>
      </x:c>
      <x:c r="D200" s="15" t="n">
        <x:v>1</x:v>
      </x:c>
      <x:c r="E200" s="15" t="n">
        <x:v>1</x:v>
      </x:c>
      <x:c r="F200" s="15" t="n">
        <x:v>56</x:v>
      </x:c>
      <x:c r="G200" s="15" t="n">
        <x:v>69</x:v>
      </x:c>
      <x:c r="H200" s="15" t="n">
        <x:v>7</x:v>
      </x:c>
      <x:c r="I200" s="15" t="str">
        <x:v>NO_CONCRETADA</x:v>
      </x:c>
      <x:c r="J200" s="15" t="n">
        <x:v>0</x:v>
      </x:c>
      <x:c r="K200" s="15" t="str">
        <x:v>true</x:v>
      </x:c>
      <x:c r="L200" s="15" t="n">
        <x:v>7657.63</x:v>
      </x:c>
      <x:c r="M200" s="15" t="n">
        <x:v>3</x:v>
      </x:c>
      <x:c r="N200" s="15" t="n">
        <x:v>3</x:v>
      </x:c>
      <x:c r="O200" s="15" t="str">
        <x:v>CERRADA</x:v>
      </x:c>
      <x:c r="P200" s="15" t="str">
        <x:v>Lino pesado DEMO</x:v>
      </x:c>
      <x:c r="Q200" s="15" t="str">
        <x:v>PESADO</x:v>
      </x:c>
      <x:c r="R200" s="15" t="str">
        <x:v>m² simulado</x:v>
      </x:c>
      <x:c r="S200" s="15" t="n">
        <x:v>1.55</x:v>
      </x:c>
      <x:c r="T200" s="15" t="n">
        <x:v>13.95</x:v>
      </x:c>
      <x:c r="U200" s="15" t="n">
        <x:v>20</x:v>
      </x:c>
      <x:c r="V200" s="15" t="n">
        <x:v>0</x:v>
      </x:c>
      <x:c r="W200" s="15" t="str">
        <x:v>SUFICIENTE_EN_ESCENARIO</x:v>
      </x:c>
      <x:c r="X200" s="15" t="n">
        <x:v>125</x:v>
      </x:c>
      <x:c r="Y200" s="15" t="n">
        <x:v>1518.75</x:v>
      </x:c>
      <x:c r="Z200" s="15" t="n">
        <x:v>299.5</x:v>
      </x:c>
      <x:c r="AA200" s="28" t="n">
        <x:v>1219.25</x:v>
      </x:c>
      <x:c r="AB200" s="15" t="n">
        <x:v>29</x:v>
      </x:c>
      <x:c r="AC200" s="28" t="n">
        <x:v>404.55</x:v>
      </x:c>
      <x:c r="AD200" s="28" t="n">
        <x:v>814.7</x:v>
      </x:c>
      <x:c r="AE200" s="15" t="str">
        <x:v>FACTIBLE_CON_REGLAS_SINTETICAS</x:v>
      </x:c>
      <x:c r="AF200" s="15" t="str">
        <x:v>true</x:v>
      </x:c>
    </x:row>
    <x:row r="201">
      <x:c r="A201" s="15" t="str">
        <x:v>SYN-200</x:v>
      </x:c>
      <x:c r="B201" s="15" t="str">
        <x:v>Toldos</x:v>
      </x:c>
      <x:c r="C201" s="15" t="n">
        <x:v>5.09</x:v>
      </x:c>
      <x:c r="D201" s="15" t="n">
        <x:v>0</x:v>
      </x:c>
      <x:c r="E201" s="15" t="n">
        <x:v>0</x:v>
      </x:c>
      <x:c r="F201" s="15" t="n">
        <x:v>72</x:v>
      </x:c>
      <x:c r="G201" s="15" t="n">
        <x:v>58</x:v>
      </x:c>
      <x:c r="H201" s="15" t="n">
        <x:v>6</x:v>
      </x:c>
      <x:c r="I201" s="15" t="str">
        <x:v>NO_CONCRETADA</x:v>
      </x:c>
      <x:c r="J201" s="15" t="n">
        <x:v>0</x:v>
      </x:c>
      <x:c r="K201" s="15" t="str">
        <x:v>true</x:v>
      </x:c>
      <x:c r="L201" s="15" t="n">
        <x:v>7303.51</x:v>
      </x:c>
      <x:c r="M201" s="15" t="n">
        <x:v>3</x:v>
      </x:c>
      <x:c r="N201" s="15" t="n">
        <x:v>3</x:v>
      </x:c>
      <x:c r="O201" s="15" t="str">
        <x:v>NO_APLICA</x:v>
      </x:c>
      <x:c r="P201" s="15" t="str">
        <x:v>Lona orillo azul DEMO</x:v>
      </x:c>
      <x:c r="Q201" s="15" t="str">
        <x:v>ESTANDAR</x:v>
      </x:c>
      <x:c r="R201" s="15" t="str">
        <x:v>m² simulado</x:v>
      </x:c>
      <x:c r="S201" s="15" t="n">
        <x:v>1.1</x:v>
      </x:c>
      <x:c r="T201" s="15" t="n">
        <x:v>9.9</x:v>
      </x:c>
      <x:c r="U201" s="15" t="n">
        <x:v>22</x:v>
      </x:c>
      <x:c r="V201" s="15" t="n">
        <x:v>0</x:v>
      </x:c>
      <x:c r="W201" s="15" t="str">
        <x:v>SUFICIENTE_EN_ESCENARIO</x:v>
      </x:c>
      <x:c r="X201" s="15" t="n">
        <x:v>120</x:v>
      </x:c>
      <x:c r="Y201" s="15" t="n">
        <x:v>1080</x:v>
      </x:c>
      <x:c r="Z201" s="15" t="n">
        <x:v>54.97</x:v>
      </x:c>
      <x:c r="AA201" s="28" t="n">
        <x:v>1025.03</x:v>
      </x:c>
      <x:c r="AB201" s="15" t="n">
        <x:v>25</x:v>
      </x:c>
      <x:c r="AC201" s="28" t="n">
        <x:v>247.5</x:v>
      </x:c>
      <x:c r="AD201" s="28" t="n">
        <x:v>777.53</x:v>
      </x:c>
      <x:c r="AE201" s="15" t="str">
        <x:v>REVISAR_DATOS</x:v>
      </x:c>
      <x:c r="AF201" s="1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3a7e2c1ecbaa4a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16" hidden="0" customWidth="1"/>
    <x:col min="3" max="3" width="15.75" hidden="0" customWidth="1"/>
    <x:col min="4" max="4" width="14.380000114440918" hidden="0" customWidth="1"/>
    <x:col min="5" max="5" width="15.5" hidden="0" customWidth="1"/>
    <x:col min="6" max="6" width="18" hidden="0" customWidth="1"/>
    <x:col min="7" max="7" width="14.75" hidden="0" customWidth="1"/>
  </x:cols>
  <x:sheetData>
    <x:row r="1">
      <x:c r="A1" s="26" t="str">
        <x:v>service_type</x:v>
      </x:c>
      <x:c r="B1" s="26" t="str">
        <x:v>material_name</x:v>
      </x:c>
      <x:c r="C1" s="26" t="str">
        <x:v>material_variant</x:v>
      </x:c>
      <x:c r="D1" s="26" t="str">
        <x:v>stock_quantity</x:v>
      </x:c>
      <x:c r="E1" s="26" t="str">
        <x:v>unit</x:v>
      </x:c>
      <x:c r="F1" s="26" t="str">
        <x:v>synthetic_unit_cost</x:v>
      </x:c>
      <x:c r="G1" s="26" t="str">
        <x:v>simulation_flag</x:v>
      </x:c>
    </x:row>
    <x:row r="2">
      <x:c r="A2" s="29" t="str">
        <x:v>Carpas</x:v>
      </x:c>
      <x:c r="B2" s="29" t="str">
        <x:v>Lino económico DEMO</x:v>
      </x:c>
      <x:c r="C2" s="29" t="str">
        <x:v>ECONOMICO</x:v>
      </x:c>
      <x:c r="D2" s="30" t="n">
        <x:v>32</x:v>
      </x:c>
      <x:c r="E2" s="29" t="str">
        <x:v>m² simulado</x:v>
      </x:c>
      <x:c r="F2" s="31" t="n">
        <x:v>18</x:v>
      </x:c>
      <x:c r="G2" s="29" t="str">
        <x:v>true</x:v>
      </x:c>
    </x:row>
    <x:row r="3">
      <x:c r="A3" s="29" t="str">
        <x:v>Carpas</x:v>
      </x:c>
      <x:c r="B3" s="29" t="str">
        <x:v>Lino liviano DEMO</x:v>
      </x:c>
      <x:c r="C3" s="29" t="str">
        <x:v>LIVIANO</x:v>
      </x:c>
      <x:c r="D3" s="30" t="n">
        <x:v>28</x:v>
      </x:c>
      <x:c r="E3" s="29" t="str">
        <x:v>m² simulado</x:v>
      </x:c>
      <x:c r="F3" s="31" t="n">
        <x:v>22</x:v>
      </x:c>
      <x:c r="G3" s="29" t="str">
        <x:v>true</x:v>
      </x:c>
    </x:row>
    <x:row r="4">
      <x:c r="A4" s="29" t="str">
        <x:v>Carpas</x:v>
      </x:c>
      <x:c r="B4" s="29" t="str">
        <x:v>Lino pesado DEMO</x:v>
      </x:c>
      <x:c r="C4" s="29" t="str">
        <x:v>PESADO</x:v>
      </x:c>
      <x:c r="D4" s="30" t="n">
        <x:v>20</x:v>
      </x:c>
      <x:c r="E4" s="29" t="str">
        <x:v>m² simulado</x:v>
      </x:c>
      <x:c r="F4" s="31" t="n">
        <x:v>29</x:v>
      </x:c>
      <x:c r="G4" s="29" t="str">
        <x:v>true</x:v>
      </x:c>
    </x:row>
    <x:row r="5">
      <x:c r="A5" s="29" t="str">
        <x:v>Toldos</x:v>
      </x:c>
      <x:c r="B5" s="29" t="str">
        <x:v>Tarflex DEMO</x:v>
      </x:c>
      <x:c r="C5" s="29" t="str">
        <x:v>ESTANDAR</x:v>
      </x:c>
      <x:c r="D5" s="30" t="n">
        <x:v>24</x:v>
      </x:c>
      <x:c r="E5" s="29" t="str">
        <x:v>m² simulado</x:v>
      </x:c>
      <x:c r="F5" s="31" t="n">
        <x:v>23</x:v>
      </x:c>
      <x:c r="G5" s="29" t="str">
        <x:v>true</x:v>
      </x:c>
    </x:row>
    <x:row r="6">
      <x:c r="A6" s="29" t="str">
        <x:v>Toldos</x:v>
      </x:c>
      <x:c r="B6" s="29" t="str">
        <x:v>Lona orillo azul DEMO</x:v>
      </x:c>
      <x:c r="C6" s="29" t="str">
        <x:v>ESTANDAR</x:v>
      </x:c>
      <x:c r="D6" s="30" t="n">
        <x:v>22</x:v>
      </x:c>
      <x:c r="E6" s="29" t="str">
        <x:v>m² simulado</x:v>
      </x:c>
      <x:c r="F6" s="31" t="n">
        <x:v>25</x:v>
      </x:c>
      <x:c r="G6" s="29" t="str">
        <x:v>true</x:v>
      </x:c>
    </x:row>
    <x:row r="7">
      <x:c r="A7" s="29" t="str">
        <x:v>Toldos</x:v>
      </x:c>
      <x:c r="B7" s="29" t="str">
        <x:v>Lona orillo rojo DEMO</x:v>
      </x:c>
      <x:c r="C7" s="29" t="str">
        <x:v>ESTANDAR</x:v>
      </x:c>
      <x:c r="D7" s="30" t="n">
        <x:v>18</x:v>
      </x:c>
      <x:c r="E7" s="29" t="str">
        <x:v>m² simulado</x:v>
      </x:c>
      <x:c r="F7" s="31" t="n">
        <x:v>26</x:v>
      </x:c>
      <x:c r="G7" s="29" t="str">
        <x:v>true</x:v>
      </x:c>
    </x:row>
    <x:row r="8">
      <x:c r="A8" s="29" t="str">
        <x:v>Tapizado de moto</x:v>
      </x:c>
      <x:c r="B8" s="29" t="str">
        <x:v>Oxford DEMO</x:v>
      </x:c>
      <x:c r="C8" s="29" t="str">
        <x:v>NO_APLICA</x:v>
      </x:c>
      <x:c r="D8" s="30" t="n">
        <x:v>9</x:v>
      </x:c>
      <x:c r="E8" s="29" t="str">
        <x:v>m² equivalente DEMO</x:v>
      </x:c>
      <x:c r="F8" s="31" t="n">
        <x:v>38</x:v>
      </x:c>
      <x:c r="G8" s="29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3d766795006244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16" hidden="0" customWidth="1"/>
    <x:col min="3" max="3" width="15.75" hidden="0" customWidth="1"/>
    <x:col min="4" max="4" width="12.880000114440918" hidden="0" customWidth="1"/>
    <x:col min="5" max="5" width="20.3799991607666" hidden="0" customWidth="1"/>
    <x:col min="6" max="6" width="23.1299991607666" hidden="0" customWidth="1"/>
    <x:col min="7" max="7" width="14.75" hidden="0" customWidth="1"/>
  </x:cols>
  <x:sheetData>
    <x:row r="1">
      <x:c r="A1" s="26" t="str">
        <x:v>service_type</x:v>
      </x:c>
      <x:c r="B1" s="26" t="str">
        <x:v>material_name</x:v>
      </x:c>
      <x:c r="C1" s="26" t="str">
        <x:v>material_variant</x:v>
      </x:c>
      <x:c r="D1" s="26" t="str">
        <x:v>rate_per_m2</x:v>
      </x:c>
      <x:c r="E1" s="26" t="str">
        <x:v>closed_tent_multiplier</x:v>
      </x:c>
      <x:c r="F1" s="26" t="str">
        <x:v>discount_source</x:v>
      </x:c>
      <x:c r="G1" s="26" t="str">
        <x:v>simulation_flag</x:v>
      </x:c>
    </x:row>
    <x:row r="2">
      <x:c r="A2" s="29" t="str">
        <x:v>Carpas</x:v>
      </x:c>
      <x:c r="B2" s="29" t="str">
        <x:v>Lino económico DEMO</x:v>
      </x:c>
      <x:c r="C2" s="29" t="str">
        <x:v>ECONOMICO</x:v>
      </x:c>
      <x:c r="D2" s="31" t="n">
        <x:v>95</x:v>
      </x:c>
      <x:c r="E2" s="30" t="n">
        <x:v>1.35</x:v>
      </x:c>
      <x:c r="F2" s="29" t="str">
        <x:v>supuesto_de_demo_no_validado</x:v>
      </x:c>
      <x:c r="G2" s="29" t="str">
        <x:v>true</x:v>
      </x:c>
    </x:row>
    <x:row r="3">
      <x:c r="A3" s="29" t="str">
        <x:v>Carpas</x:v>
      </x:c>
      <x:c r="B3" s="29" t="str">
        <x:v>Lino liviano DEMO</x:v>
      </x:c>
      <x:c r="C3" s="29" t="str">
        <x:v>LIVIANO</x:v>
      </x:c>
      <x:c r="D3" s="31" t="n">
        <x:v>108</x:v>
      </x:c>
      <x:c r="E3" s="30" t="n">
        <x:v>1.35</x:v>
      </x:c>
      <x:c r="F3" s="29" t="str">
        <x:v>supuesto_de_demo_no_validado</x:v>
      </x:c>
      <x:c r="G3" s="29" t="str">
        <x:v>true</x:v>
      </x:c>
    </x:row>
    <x:row r="4">
      <x:c r="A4" s="29" t="str">
        <x:v>Carpas</x:v>
      </x:c>
      <x:c r="B4" s="29" t="str">
        <x:v>Lino pesado DEMO</x:v>
      </x:c>
      <x:c r="C4" s="29" t="str">
        <x:v>PESADO</x:v>
      </x:c>
      <x:c r="D4" s="31" t="n">
        <x:v>125</x:v>
      </x:c>
      <x:c r="E4" s="30" t="n">
        <x:v>1.35</x:v>
      </x:c>
      <x:c r="F4" s="29" t="str">
        <x:v>supuesto_de_demo_no_validado</x:v>
      </x:c>
      <x:c r="G4" s="29" t="str">
        <x:v>true</x:v>
      </x:c>
    </x:row>
    <x:row r="5">
      <x:c r="A5" s="29" t="str">
        <x:v>Toldos</x:v>
      </x:c>
      <x:c r="B5" s="29" t="str">
        <x:v>Tarflex DEMO</x:v>
      </x:c>
      <x:c r="C5" s="29" t="str">
        <x:v>ESTANDAR</x:v>
      </x:c>
      <x:c r="D5" s="31" t="n">
        <x:v>112</x:v>
      </x:c>
      <x:c r="E5" s="30" t="n">
        <x:v>1</x:v>
      </x:c>
      <x:c r="F5" s="29" t="str">
        <x:v>supuesto_de_demo_no_validado</x:v>
      </x:c>
      <x:c r="G5" s="29" t="str">
        <x:v>true</x:v>
      </x:c>
    </x:row>
    <x:row r="6">
      <x:c r="A6" s="29" t="str">
        <x:v>Toldos</x:v>
      </x:c>
      <x:c r="B6" s="29" t="str">
        <x:v>Lona orillo azul DEMO</x:v>
      </x:c>
      <x:c r="C6" s="29" t="str">
        <x:v>ESTANDAR</x:v>
      </x:c>
      <x:c r="D6" s="31" t="n">
        <x:v>120</x:v>
      </x:c>
      <x:c r="E6" s="30" t="n">
        <x:v>1</x:v>
      </x:c>
      <x:c r="F6" s="29" t="str">
        <x:v>supuesto_de_demo_no_validado</x:v>
      </x:c>
      <x:c r="G6" s="29" t="str">
        <x:v>true</x:v>
      </x:c>
    </x:row>
    <x:row r="7">
      <x:c r="A7" s="29" t="str">
        <x:v>Toldos</x:v>
      </x:c>
      <x:c r="B7" s="29" t="str">
        <x:v>Lona orillo rojo DEMO</x:v>
      </x:c>
      <x:c r="C7" s="29" t="str">
        <x:v>ESTANDAR</x:v>
      </x:c>
      <x:c r="D7" s="31" t="n">
        <x:v>122</x:v>
      </x:c>
      <x:c r="E7" s="30" t="n">
        <x:v>1</x:v>
      </x:c>
      <x:c r="F7" s="29" t="str">
        <x:v>supuesto_de_demo_no_validado</x:v>
      </x:c>
      <x:c r="G7" s="29" t="str">
        <x:v>true</x:v>
      </x:c>
    </x:row>
    <x:row r="8">
      <x:c r="A8" s="29" t="str">
        <x:v>Tapizado de moto</x:v>
      </x:c>
      <x:c r="B8" s="29" t="str">
        <x:v>Oxford DEMO</x:v>
      </x:c>
      <x:c r="C8" s="29" t="str">
        <x:v>NO_APLICA</x:v>
      </x:c>
      <x:c r="D8" s="31" t="n">
        <x:v>155</x:v>
      </x:c>
      <x:c r="E8" s="30" t="n">
        <x:v>1</x:v>
      </x:c>
      <x:c r="F8" s="29" t="str">
        <x:v>supuesto_de_demo_no_validado</x:v>
      </x:c>
      <x:c r="G8" s="29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fcc0169931904f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15" hidden="0" customHeight="1">
      <x:c r="A1" s="26" t="str">
        <x:v>Guía de uso en SmartPLS</x:v>
      </x:c>
      <x:c r="B1" s="26" t="str">
        <x:v>Criterio</x:v>
      </x:c>
    </x:row>
    <x:row r="2" ht="15" hidden="0" customHeight="1">
      <x:c r="A2" s="32" t="str">
        <x:v>Qué contiene este libro</x:v>
      </x:c>
      <x:c r="B2" s="33" t="str">
        <x:v>200 registros totalmente sintéticos; incluye variables numéricas y categóricas para practicar importación y descriptivos.</x:v>
      </x:c>
    </x:row>
    <x:row r="3" ht="15" hidden="0" customHeight="1">
      <x:c r="A3" s="32" t="str">
        <x:v>Uso válido</x:v>
      </x:c>
      <x:c r="B3" s="33" t="str">
        <x:v>Prueba técnica de carga del archivo, filtros, tipos de variable y construcción de un modelo de práctica claramente rotulado.</x:v>
      </x:c>
    </x:row>
    <x:row r="4" ht="15" hidden="0" customHeight="1">
      <x:c r="A4" s="32" t="str">
        <x:v>No usar para</x:v>
      </x:c>
      <x:c r="B4" s="33" t="str">
        <x:v>Resultados de tesis, confiabilidad del instrumento, comprobación de hipótesis ni generalizaciones sobre Leguía.</x:v>
      </x:c>
    </x:row>
    <x:row r="5" ht="26.399999618530273" hidden="0" customHeight="1">
      <x:c r="A5" s="32" t="str">
        <x:v>Alfa de Cronbach</x:v>
      </x:c>
      <x:c r="B5" s="33" t="str">
        <x:v>No se puede garantizar ni fabricar un valor &gt; 0.70. Se calcula con indicadores de un instrumento real, multiítem y previamente definido.</x:v>
      </x:c>
    </x:row>
    <x:row r="6" ht="26.399999618530273" hidden="0" customHeight="1">
      <x:c r="A6" s="32" t="str">
        <x:v>Referencia del umbral</x:v>
      </x:c>
      <x:c r="B6" s="33" t="str">
        <x:v>SmartPLS presenta ≥ 0.70 como referencia usual de consistencia interna; valores &gt; 0.95 pueden indicar indicadores redundantes. El docente debe aprobar criterio e instrumento.</x:v>
      </x:c>
    </x:row>
    <x:row r="7" ht="26.399999618530273" hidden="0" customHeight="1">
      <x:c r="A7" s="32" t="str">
        <x:v>Diseño de tesis</x:v>
      </x:c>
      <x:c r="B7" s="33" t="str">
        <x:v>La metodología descrita es preexperimental con mediciones antes/después sobre solicitudes observadas; SmartPLS no es automáticamente el análisis correcto.</x:v>
      </x:c>
    </x:row>
    <x:row r="8" ht="26.399999618530273" hidden="0" customHeight="1">
      <x:c r="A8" s="32" t="str">
        <x:v>Siguiente paso académico</x:v>
      </x:c>
      <x:c r="B8" s="33" t="str">
        <x:v>Acordar con el docente los indicadores y el análisis. Recolectar observaciones reales de pretest y posttest o aplicar un cuestionario validado si el modelo realmente lo requiere.</x:v>
      </x:c>
    </x:row>
    <x:row r="9" ht="26.399999618530273" hidden="0" customHeight="1">
      <x:c r="A9" s="32" t="str">
        <x:v>Medidas</x:v>
      </x:c>
      <x:c r="B9" s="33" t="str">
        <x:v>Las dimensiones de las filas se generaron para el demo; el número de ventanas/puertas no tiene consumos asociados en este conjunto.</x:v>
      </x:c>
    </x:row>
    <x:row r="10" ht="15" hidden="0" customHeight="1">
      <x:c r="A10" s="32" t="str">
        <x:v>Stock y consumo</x:v>
      </x:c>
      <x:c r="B10" s="33" t="str">
        <x:v>Saldos y factores son supuestos fijos por escenario. No acumulan consumos ni reservan stock.</x:v>
      </x:c>
    </x:row>
    <x:row r="11" ht="15" hidden="0" customHeight="1">
      <x:c r="A11" s="32" t="str">
        <x:v>Precios</x:v>
      </x:c>
      <x:c r="B11" s="33" t="str">
        <x:v>Las tarifas son supuestos editables de demostración, no precios copiados ni aprobados a partir de las fotos manuscritas.</x:v>
      </x:c>
    </x:row>
    <x:row r="12" ht="15" hidden="0" customHeight="1">
      <x:c r="A12" s="32" t="str">
        <x:v>Materiales seleccionados</x:v>
      </x:c>
      <x:c r="B12" s="33" t="str">
        <x:v>Carpas: lino económico, liviano y pesado. Toldos: Tarflex y lona orillo azul/rojo. Opciones en la app son un catálogo inicial.</x:v>
      </x:c>
    </x:row>
    <x:row r="13" ht="26.399999618530273" hidden="0" customHeight="1">
      <x:c r="A13" s="32" t="str">
        <x:v>Carpa cerrada</x:v>
      </x:c>
      <x:c r="B13" s="33" t="str">
        <x:v>La app permite indicar cerrada/abierta, ventanas y puertas. La regla de precio/consumo de ventanas y puertas debe validarse antes de producción.</x:v>
      </x:c>
    </x:row>
    <x:row r="14" ht="26.399999618530273" hidden="0" customHeight="1">
      <x:c r="A14" s="32" t="str">
        <x:v>Importación de práctica</x:v>
      </x:c>
      <x:c r="B14" s="33" t="str">
        <x:v>La hoja PLS_solo_practica tiene solo columnas numéricas para probar la importación. Es una práctica técnica, no un modelo de medición ni una base empírica.</x:v>
      </x:c>
    </x:row>
    <x:row r="15" ht="15" hidden="0" customHeight="1">
      <x:c r="A15" s="32" t="str">
        <x:v>Trazabilidad</x:v>
      </x:c>
      <x:c r="B15" s="33" t="str">
        <x:v>El generador tiene semilla fija y puede volver a ejecutarse con qa/data/generate_synthetic_stock_demo.py.</x:v>
      </x:c>
    </x:row>
    <x:row r="16" ht="15" hidden="0" customHeight="1">
      <x:c r="A16" s="32" t="str">
        <x:v>Fuente SmartPLS</x:v>
      </x:c>
      <x:c r="B16" s="33" t="str">
        <x:v>https://www.smartpls.com/documentation/functionalities/thresholds/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26" t="str">
        <x:v>id_sintetico</x:v>
      </x:c>
      <x:c r="B1" s="26" t="str">
        <x:v>tiempo_cotizacion_min</x:v>
      </x:c>
      <x:c r="C1" s="26" t="str">
        <x:v>requisito_completo_0_1</x:v>
      </x:c>
      <x:c r="D1" s="26" t="str">
        <x:v>revision_humana_0_1</x:v>
      </x:c>
      <x:c r="E1" s="26" t="str">
        <x:v>dias_hasta_fecha_solicitada</x:v>
      </x:c>
      <x:c r="F1" s="26" t="str">
        <x:v>dias_respuesta_cliente</x:v>
      </x:c>
      <x:c r="G1" s="26" t="str">
        <x:v>venta_convertida_0_1</x:v>
      </x:c>
    </x:row>
    <x:row r="2">
      <x:c r="A2" t="n">
        <x:v>1</x:v>
      </x:c>
      <x:c r="B2" t="n">
        <x:v>8</x:v>
      </x:c>
      <x:c r="C2" t="n">
        <x:v>1</x:v>
      </x:c>
      <x:c r="D2" t="n">
        <x:v>1</x:v>
      </x:c>
      <x:c r="E2" t="n">
        <x:v>56</x:v>
      </x:c>
      <x:c r="F2" t="n">
        <x:v>5</x:v>
      </x:c>
      <x:c r="G2" t="n">
        <x:v>1</x:v>
      </x:c>
    </x:row>
    <x:row r="3">
      <x:c r="A3" t="n">
        <x:v>2</x:v>
      </x:c>
      <x:c r="B3" t="n">
        <x:v>28</x:v>
      </x:c>
      <x:c r="C3" t="n">
        <x:v>1</x:v>
      </x:c>
      <x:c r="D3" t="n">
        <x:v>0</x:v>
      </x:c>
      <x:c r="E3" t="n">
        <x:v>77</x:v>
      </x:c>
      <x:c r="F3" t="n">
        <x:v>2</x:v>
      </x:c>
      <x:c r="G3" t="n">
        <x:v>1</x:v>
      </x:c>
    </x:row>
    <x:row r="4">
      <x:c r="A4" t="n">
        <x:v>3</x:v>
      </x:c>
      <x:c r="B4" t="n">
        <x:v>34</x:v>
      </x:c>
      <x:c r="C4" t="n">
        <x:v>1</x:v>
      </x:c>
      <x:c r="D4" t="n">
        <x:v>1</x:v>
      </x:c>
      <x:c r="E4" t="n">
        <x:v>4</x:v>
      </x:c>
      <x:c r="F4" t="n">
        <x:v>11</x:v>
      </x:c>
      <x:c r="G4" t="n">
        <x:v>1</x:v>
      </x:c>
    </x:row>
    <x:row r="5">
      <x:c r="A5" t="n">
        <x:v>4</x:v>
      </x:c>
      <x:c r="B5" t="n">
        <x:v>68</x:v>
      </x:c>
      <x:c r="C5" t="n">
        <x:v>1</x:v>
      </x:c>
      <x:c r="D5" t="n">
        <x:v>0</x:v>
      </x:c>
      <x:c r="E5" t="n">
        <x:v>11</x:v>
      </x:c>
      <x:c r="F5" t="n">
        <x:v>7</x:v>
      </x:c>
      <x:c r="G5" t="n">
        <x:v>0</x:v>
      </x:c>
    </x:row>
    <x:row r="6">
      <x:c r="A6" t="n">
        <x:v>5</x:v>
      </x:c>
      <x:c r="B6" t="n">
        <x:v>10</x:v>
      </x:c>
      <x:c r="C6" t="n">
        <x:v>1</x:v>
      </x:c>
      <x:c r="D6" t="n">
        <x:v>1</x:v>
      </x:c>
      <x:c r="E6" t="n">
        <x:v>51</x:v>
      </x:c>
      <x:c r="F6" t="n">
        <x:v>13</x:v>
      </x:c>
      <x:c r="G6" t="n">
        <x:v>0</x:v>
      </x:c>
    </x:row>
    <x:row r="7">
      <x:c r="A7" t="n">
        <x:v>6</x:v>
      </x:c>
      <x:c r="B7" t="n">
        <x:v>27</x:v>
      </x:c>
      <x:c r="C7" t="n">
        <x:v>1</x:v>
      </x:c>
      <x:c r="D7" t="n">
        <x:v>1</x:v>
      </x:c>
      <x:c r="E7" t="n">
        <x:v>79</x:v>
      </x:c>
      <x:c r="F7" t="n">
        <x:v>4</x:v>
      </x:c>
      <x:c r="G7" t="n">
        <x:v>1</x:v>
      </x:c>
    </x:row>
    <x:row r="8">
      <x:c r="A8" t="n">
        <x:v>7</x:v>
      </x:c>
      <x:c r="B8" t="n">
        <x:v>61</x:v>
      </x:c>
      <x:c r="C8" t="n">
        <x:v>1</x:v>
      </x:c>
      <x:c r="D8" t="n">
        <x:v>0</x:v>
      </x:c>
      <x:c r="E8" t="n">
        <x:v>53</x:v>
      </x:c>
      <x:c r="F8" t="n">
        <x:v>13</x:v>
      </x:c>
      <x:c r="G8" t="n">
        <x:v>0</x:v>
      </x:c>
    </x:row>
    <x:row r="9">
      <x:c r="A9" t="n">
        <x:v>8</x:v>
      </x:c>
      <x:c r="B9" t="n">
        <x:v>70</x:v>
      </x:c>
      <x:c r="C9" t="n">
        <x:v>1</x:v>
      </x:c>
      <x:c r="D9" t="n">
        <x:v>1</x:v>
      </x:c>
      <x:c r="E9" t="n">
        <x:v>44</x:v>
      </x:c>
      <x:c r="F9" t="n">
        <x:v>6</x:v>
      </x:c>
      <x:c r="G9" t="n">
        <x:v>1</x:v>
      </x:c>
    </x:row>
    <x:row r="10">
      <x:c r="A10" t="n">
        <x:v>9</x:v>
      </x:c>
      <x:c r="B10" t="n">
        <x:v>33</x:v>
      </x:c>
      <x:c r="C10" t="n">
        <x:v>1</x:v>
      </x:c>
      <x:c r="D10" t="n">
        <x:v>1</x:v>
      </x:c>
      <x:c r="E10" t="n">
        <x:v>55</x:v>
      </x:c>
      <x:c r="F10" t="n">
        <x:v>14</x:v>
      </x:c>
      <x:c r="G10" t="n">
        <x:v>1</x:v>
      </x:c>
    </x:row>
    <x:row r="11">
      <x:c r="A11" t="n">
        <x:v>10</x:v>
      </x:c>
      <x:c r="B11" t="n">
        <x:v>58</x:v>
      </x:c>
      <x:c r="C11" t="n">
        <x:v>0</x:v>
      </x:c>
      <x:c r="D11" t="n">
        <x:v>0</x:v>
      </x:c>
      <x:c r="E11" t="n">
        <x:v>32</x:v>
      </x:c>
      <x:c r="F11" t="n">
        <x:v>19</x:v>
      </x:c>
      <x:c r="G11" t="n">
        <x:v>1</x:v>
      </x:c>
    </x:row>
    <x:row r="12">
      <x:c r="A12" t="n">
        <x:v>11</x:v>
      </x:c>
      <x:c r="B12" t="n">
        <x:v>44</x:v>
      </x:c>
      <x:c r="C12" t="n">
        <x:v>1</x:v>
      </x:c>
      <x:c r="D12" t="n">
        <x:v>1</x:v>
      </x:c>
      <x:c r="E12" t="n">
        <x:v>64</x:v>
      </x:c>
      <x:c r="F12" t="n">
        <x:v>19</x:v>
      </x:c>
      <x:c r="G12" t="n">
        <x:v>1</x:v>
      </x:c>
    </x:row>
    <x:row r="13">
      <x:c r="A13" t="n">
        <x:v>12</x:v>
      </x:c>
      <x:c r="B13" t="n">
        <x:v>74</x:v>
      </x:c>
      <x:c r="C13" t="n">
        <x:v>1</x:v>
      </x:c>
      <x:c r="D13" t="n">
        <x:v>1</x:v>
      </x:c>
      <x:c r="E13" t="n">
        <x:v>48</x:v>
      </x:c>
      <x:c r="F13" t="n">
        <x:v>7</x:v>
      </x:c>
      <x:c r="G13" t="n">
        <x:v>0</x:v>
      </x:c>
    </x:row>
    <x:row r="14">
      <x:c r="A14" t="n">
        <x:v>13</x:v>
      </x:c>
      <x:c r="B14" t="n">
        <x:v>31</x:v>
      </x:c>
      <x:c r="C14" t="n">
        <x:v>0</x:v>
      </x:c>
      <x:c r="D14" t="n">
        <x:v>0</x:v>
      </x:c>
      <x:c r="E14" t="n">
        <x:v>47</x:v>
      </x:c>
      <x:c r="F14" t="n">
        <x:v>20</x:v>
      </x:c>
      <x:c r="G14" t="n">
        <x:v>1</x:v>
      </x:c>
    </x:row>
    <x:row r="15">
      <x:c r="A15" t="n">
        <x:v>14</x:v>
      </x:c>
      <x:c r="B15" t="n">
        <x:v>47</x:v>
      </x:c>
      <x:c r="C15" t="n">
        <x:v>1</x:v>
      </x:c>
      <x:c r="D15" t="n">
        <x:v>1</x:v>
      </x:c>
      <x:c r="E15" t="n">
        <x:v>60</x:v>
      </x:c>
      <x:c r="F15" t="n">
        <x:v>8</x:v>
      </x:c>
      <x:c r="G15" t="n">
        <x:v>0</x:v>
      </x:c>
    </x:row>
    <x:row r="16">
      <x:c r="A16" t="n">
        <x:v>15</x:v>
      </x:c>
      <x:c r="B16" t="n">
        <x:v>67</x:v>
      </x:c>
      <x:c r="C16" t="n">
        <x:v>1</x:v>
      </x:c>
      <x:c r="D16" t="n">
        <x:v>1</x:v>
      </x:c>
      <x:c r="E16" t="n">
        <x:v>74</x:v>
      </x:c>
      <x:c r="F16" t="n">
        <x:v>14</x:v>
      </x:c>
      <x:c r="G16" t="n">
        <x:v>0</x:v>
      </x:c>
    </x:row>
    <x:row r="17">
      <x:c r="A17" t="n">
        <x:v>16</x:v>
      </x:c>
      <x:c r="B17" t="n">
        <x:v>58</x:v>
      </x:c>
      <x:c r="C17" t="n">
        <x:v>1</x:v>
      </x:c>
      <x:c r="D17" t="n">
        <x:v>1</x:v>
      </x:c>
      <x:c r="E17" t="n">
        <x:v>16</x:v>
      </x:c>
      <x:c r="F17" t="n">
        <x:v>17</x:v>
      </x:c>
      <x:c r="G17" t="n">
        <x:v>1</x:v>
      </x:c>
    </x:row>
    <x:row r="18">
      <x:c r="A18" t="n">
        <x:v>17</x:v>
      </x:c>
      <x:c r="B18" t="n">
        <x:v>14</x:v>
      </x:c>
      <x:c r="C18" t="n">
        <x:v>1</x:v>
      </x:c>
      <x:c r="D18" t="n">
        <x:v>1</x:v>
      </x:c>
      <x:c r="E18" t="n">
        <x:v>85</x:v>
      </x:c>
      <x:c r="F18" t="n">
        <x:v>5</x:v>
      </x:c>
      <x:c r="G18" t="n">
        <x:v>1</x:v>
      </x:c>
    </x:row>
    <x:row r="19">
      <x:c r="A19" t="n">
        <x:v>18</x:v>
      </x:c>
      <x:c r="B19" t="n">
        <x:v>26</x:v>
      </x:c>
      <x:c r="C19" t="n">
        <x:v>0</x:v>
      </x:c>
      <x:c r="D19" t="n">
        <x:v>0</x:v>
      </x:c>
      <x:c r="E19" t="n">
        <x:v>4</x:v>
      </x:c>
      <x:c r="F19" t="n">
        <x:v>6</x:v>
      </x:c>
      <x:c r="G19" t="n">
        <x:v>0</x:v>
      </x:c>
    </x:row>
    <x:row r="20">
      <x:c r="A20" t="n">
        <x:v>19</x:v>
      </x:c>
      <x:c r="B20" t="n">
        <x:v>16</x:v>
      </x:c>
      <x:c r="C20" t="n">
        <x:v>1</x:v>
      </x:c>
      <x:c r="D20" t="n">
        <x:v>1</x:v>
      </x:c>
      <x:c r="E20" t="n">
        <x:v>5</x:v>
      </x:c>
      <x:c r="F20" t="n">
        <x:v>20</x:v>
      </x:c>
      <x:c r="G20" t="n">
        <x:v>0</x:v>
      </x:c>
    </x:row>
    <x:row r="21">
      <x:c r="A21" t="n">
        <x:v>20</x:v>
      </x:c>
      <x:c r="B21" t="n">
        <x:v>18</x:v>
      </x:c>
      <x:c r="C21" t="n">
        <x:v>1</x:v>
      </x:c>
      <x:c r="D21" t="n">
        <x:v>1</x:v>
      </x:c>
      <x:c r="E21" t="n">
        <x:v>44</x:v>
      </x:c>
      <x:c r="F21" t="n">
        <x:v>1</x:v>
      </x:c>
      <x:c r="G21" t="n">
        <x:v>1</x:v>
      </x:c>
    </x:row>
    <x:row r="22">
      <x:c r="A22" t="n">
        <x:v>21</x:v>
      </x:c>
      <x:c r="B22" t="n">
        <x:v>38</x:v>
      </x:c>
      <x:c r="C22" t="n">
        <x:v>0</x:v>
      </x:c>
      <x:c r="D22" t="n">
        <x:v>0</x:v>
      </x:c>
      <x:c r="E22" t="n">
        <x:v>56</x:v>
      </x:c>
      <x:c r="F22" t="n">
        <x:v>13</x:v>
      </x:c>
      <x:c r="G22" t="n">
        <x:v>0</x:v>
      </x:c>
    </x:row>
    <x:row r="23">
      <x:c r="A23" t="n">
        <x:v>22</x:v>
      </x:c>
      <x:c r="B23" t="n">
        <x:v>45</x:v>
      </x:c>
      <x:c r="C23" t="n">
        <x:v>0</x:v>
      </x:c>
      <x:c r="D23" t="n">
        <x:v>0</x:v>
      </x:c>
      <x:c r="E23" t="n">
        <x:v>34</x:v>
      </x:c>
      <x:c r="F23" t="n">
        <x:v>20</x:v>
      </x:c>
      <x:c r="G23" t="n">
        <x:v>0</x:v>
      </x:c>
    </x:row>
    <x:row r="24">
      <x:c r="A24" t="n">
        <x:v>23</x:v>
      </x:c>
      <x:c r="B24" t="n">
        <x:v>5</x:v>
      </x:c>
      <x:c r="C24" t="n">
        <x:v>1</x:v>
      </x:c>
      <x:c r="D24" t="n">
        <x:v>1</x:v>
      </x:c>
      <x:c r="E24" t="n">
        <x:v>23</x:v>
      </x:c>
      <x:c r="F24" t="n">
        <x:v>2</x:v>
      </x:c>
      <x:c r="G24" t="n">
        <x:v>1</x:v>
      </x:c>
    </x:row>
    <x:row r="25">
      <x:c r="A25" t="n">
        <x:v>24</x:v>
      </x:c>
      <x:c r="B25" t="n">
        <x:v>36</x:v>
      </x:c>
      <x:c r="C25" t="n">
        <x:v>1</x:v>
      </x:c>
      <x:c r="D25" t="n">
        <x:v>1</x:v>
      </x:c>
      <x:c r="E25" t="n">
        <x:v>19</x:v>
      </x:c>
      <x:c r="F25" t="n">
        <x:v>14</x:v>
      </x:c>
      <x:c r="G25" t="n">
        <x:v>0</x:v>
      </x:c>
    </x:row>
    <x:row r="26">
      <x:c r="A26" t="n">
        <x:v>25</x:v>
      </x:c>
      <x:c r="B26" t="n">
        <x:v>33</x:v>
      </x:c>
      <x:c r="C26" t="n">
        <x:v>0</x:v>
      </x:c>
      <x:c r="D26" t="n">
        <x:v>0</x:v>
      </x:c>
      <x:c r="E26" t="n">
        <x:v>27</x:v>
      </x:c>
      <x:c r="F26" t="n">
        <x:v>0</x:v>
      </x:c>
      <x:c r="G26" t="n">
        <x:v>1</x:v>
      </x:c>
    </x:row>
    <x:row r="27">
      <x:c r="A27" t="n">
        <x:v>26</x:v>
      </x:c>
      <x:c r="B27" t="n">
        <x:v>33</x:v>
      </x:c>
      <x:c r="C27" t="n">
        <x:v>1</x:v>
      </x:c>
      <x:c r="D27" t="n">
        <x:v>1</x:v>
      </x:c>
      <x:c r="E27" t="n">
        <x:v>81</x:v>
      </x:c>
      <x:c r="F27" t="n">
        <x:v>3</x:v>
      </x:c>
      <x:c r="G27" t="n">
        <x:v>1</x:v>
      </x:c>
    </x:row>
    <x:row r="28">
      <x:c r="A28" t="n">
        <x:v>27</x:v>
      </x:c>
      <x:c r="B28" t="n">
        <x:v>8</x:v>
      </x:c>
      <x:c r="C28" t="n">
        <x:v>1</x:v>
      </x:c>
      <x:c r="D28" t="n">
        <x:v>1</x:v>
      </x:c>
      <x:c r="E28" t="n">
        <x:v>44</x:v>
      </x:c>
      <x:c r="F28" t="n">
        <x:v>6</x:v>
      </x:c>
      <x:c r="G28" t="n">
        <x:v>1</x:v>
      </x:c>
    </x:row>
    <x:row r="29">
      <x:c r="A29" t="n">
        <x:v>28</x:v>
      </x:c>
      <x:c r="B29" t="n">
        <x:v>30</x:v>
      </x:c>
      <x:c r="C29" t="n">
        <x:v>0</x:v>
      </x:c>
      <x:c r="D29" t="n">
        <x:v>0</x:v>
      </x:c>
      <x:c r="E29" t="n">
        <x:v>65</x:v>
      </x:c>
      <x:c r="F29" t="n">
        <x:v>12</x:v>
      </x:c>
      <x:c r="G29" t="n">
        <x:v>0</x:v>
      </x:c>
    </x:row>
    <x:row r="30">
      <x:c r="A30" t="n">
        <x:v>29</x:v>
      </x:c>
      <x:c r="B30" t="n">
        <x:v>73</x:v>
      </x:c>
      <x:c r="C30" t="n">
        <x:v>1</x:v>
      </x:c>
      <x:c r="D30" t="n">
        <x:v>1</x:v>
      </x:c>
      <x:c r="E30" t="n">
        <x:v>1</x:v>
      </x:c>
      <x:c r="F30" t="n">
        <x:v>16</x:v>
      </x:c>
      <x:c r="G30" t="n">
        <x:v>0</x:v>
      </x:c>
    </x:row>
    <x:row r="31">
      <x:c r="A31" t="n">
        <x:v>30</x:v>
      </x:c>
      <x:c r="B31" t="n">
        <x:v>7</x:v>
      </x:c>
      <x:c r="C31" t="n">
        <x:v>1</x:v>
      </x:c>
      <x:c r="D31" t="n">
        <x:v>1</x:v>
      </x:c>
      <x:c r="E31" t="n">
        <x:v>40</x:v>
      </x:c>
      <x:c r="F31" t="n">
        <x:v>9</x:v>
      </x:c>
      <x:c r="G31" t="n">
        <x:v>1</x:v>
      </x:c>
    </x:row>
    <x:row r="32">
      <x:c r="A32" t="n">
        <x:v>31</x:v>
      </x:c>
      <x:c r="B32" t="n">
        <x:v>12</x:v>
      </x:c>
      <x:c r="C32" t="n">
        <x:v>1</x:v>
      </x:c>
      <x:c r="D32" t="n">
        <x:v>1</x:v>
      </x:c>
      <x:c r="E32" t="n">
        <x:v>15</x:v>
      </x:c>
      <x:c r="F32" t="n">
        <x:v>9</x:v>
      </x:c>
      <x:c r="G32" t="n">
        <x:v>1</x:v>
      </x:c>
    </x:row>
    <x:row r="33">
      <x:c r="A33" t="n">
        <x:v>32</x:v>
      </x:c>
      <x:c r="B33" t="n">
        <x:v>29</x:v>
      </x:c>
      <x:c r="C33" t="n">
        <x:v>1</x:v>
      </x:c>
      <x:c r="D33" t="n">
        <x:v>1</x:v>
      </x:c>
      <x:c r="E33" t="n">
        <x:v>67</x:v>
      </x:c>
      <x:c r="F33" t="n">
        <x:v>18</x:v>
      </x:c>
      <x:c r="G33" t="n">
        <x:v>0</x:v>
      </x:c>
    </x:row>
    <x:row r="34">
      <x:c r="A34" t="n">
        <x:v>33</x:v>
      </x:c>
      <x:c r="B34" t="n">
        <x:v>3</x:v>
      </x:c>
      <x:c r="C34" t="n">
        <x:v>1</x:v>
      </x:c>
      <x:c r="D34" t="n">
        <x:v>1</x:v>
      </x:c>
      <x:c r="E34" t="n">
        <x:v>20</x:v>
      </x:c>
      <x:c r="F34" t="n">
        <x:v>20</x:v>
      </x:c>
      <x:c r="G34" t="n">
        <x:v>1</x:v>
      </x:c>
    </x:row>
    <x:row r="35">
      <x:c r="A35" t="n">
        <x:v>34</x:v>
      </x:c>
      <x:c r="B35" t="n">
        <x:v>5</x:v>
      </x:c>
      <x:c r="C35" t="n">
        <x:v>1</x:v>
      </x:c>
      <x:c r="D35" t="n">
        <x:v>1</x:v>
      </x:c>
      <x:c r="E35" t="n">
        <x:v>20</x:v>
      </x:c>
      <x:c r="F35" t="n">
        <x:v>6</x:v>
      </x:c>
      <x:c r="G35" t="n">
        <x:v>1</x:v>
      </x:c>
    </x:row>
    <x:row r="36">
      <x:c r="A36" t="n">
        <x:v>35</x:v>
      </x:c>
      <x:c r="B36" t="n">
        <x:v>13</x:v>
      </x:c>
      <x:c r="C36" t="n">
        <x:v>0</x:v>
      </x:c>
      <x:c r="D36" t="n">
        <x:v>0</x:v>
      </x:c>
      <x:c r="E36" t="n">
        <x:v>59</x:v>
      </x:c>
      <x:c r="F36" t="n">
        <x:v>7</x:v>
      </x:c>
      <x:c r="G36" t="n">
        <x:v>0</x:v>
      </x:c>
    </x:row>
    <x:row r="37">
      <x:c r="A37" t="n">
        <x:v>36</x:v>
      </x:c>
      <x:c r="B37" t="n">
        <x:v>26</x:v>
      </x:c>
      <x:c r="C37" t="n">
        <x:v>0</x:v>
      </x:c>
      <x:c r="D37" t="n">
        <x:v>0</x:v>
      </x:c>
      <x:c r="E37" t="n">
        <x:v>28</x:v>
      </x:c>
      <x:c r="F37" t="n">
        <x:v>6</x:v>
      </x:c>
      <x:c r="G37" t="n">
        <x:v>1</x:v>
      </x:c>
    </x:row>
    <x:row r="38">
      <x:c r="A38" t="n">
        <x:v>37</x:v>
      </x:c>
      <x:c r="B38" t="n">
        <x:v>75</x:v>
      </x:c>
      <x:c r="C38" t="n">
        <x:v>1</x:v>
      </x:c>
      <x:c r="D38" t="n">
        <x:v>1</x:v>
      </x:c>
      <x:c r="E38" t="n">
        <x:v>70</x:v>
      </x:c>
      <x:c r="F38" t="n">
        <x:v>10</x:v>
      </x:c>
      <x:c r="G38" t="n">
        <x:v>0</x:v>
      </x:c>
    </x:row>
    <x:row r="39">
      <x:c r="A39" t="n">
        <x:v>38</x:v>
      </x:c>
      <x:c r="B39" t="n">
        <x:v>7</x:v>
      </x:c>
      <x:c r="C39" t="n">
        <x:v>1</x:v>
      </x:c>
      <x:c r="D39" t="n">
        <x:v>0</x:v>
      </x:c>
      <x:c r="E39" t="n">
        <x:v>56</x:v>
      </x:c>
      <x:c r="F39" t="n">
        <x:v>14</x:v>
      </x:c>
      <x:c r="G39" t="n">
        <x:v>1</x:v>
      </x:c>
    </x:row>
    <x:row r="40">
      <x:c r="A40" t="n">
        <x:v>39</x:v>
      </x:c>
      <x:c r="B40" t="n">
        <x:v>58</x:v>
      </x:c>
      <x:c r="C40" t="n">
        <x:v>1</x:v>
      </x:c>
      <x:c r="D40" t="n">
        <x:v>1</x:v>
      </x:c>
      <x:c r="E40" t="n">
        <x:v>25</x:v>
      </x:c>
      <x:c r="F40" t="n">
        <x:v>13</x:v>
      </x:c>
      <x:c r="G40" t="n">
        <x:v>1</x:v>
      </x:c>
    </x:row>
    <x:row r="41">
      <x:c r="A41" t="n">
        <x:v>40</x:v>
      </x:c>
      <x:c r="B41" t="n">
        <x:v>26</x:v>
      </x:c>
      <x:c r="C41" t="n">
        <x:v>1</x:v>
      </x:c>
      <x:c r="D41" t="n">
        <x:v>1</x:v>
      </x:c>
      <x:c r="E41" t="n">
        <x:v>5</x:v>
      </x:c>
      <x:c r="F41" t="n">
        <x:v>17</x:v>
      </x:c>
      <x:c r="G41" t="n">
        <x:v>1</x:v>
      </x:c>
    </x:row>
    <x:row r="42">
      <x:c r="A42" t="n">
        <x:v>41</x:v>
      </x:c>
      <x:c r="B42" t="n">
        <x:v>59</x:v>
      </x:c>
      <x:c r="C42" t="n">
        <x:v>0</x:v>
      </x:c>
      <x:c r="D42" t="n">
        <x:v>0</x:v>
      </x:c>
      <x:c r="E42" t="n">
        <x:v>85</x:v>
      </x:c>
      <x:c r="F42" t="n">
        <x:v>18</x:v>
      </x:c>
      <x:c r="G42" t="n">
        <x:v>0</x:v>
      </x:c>
    </x:row>
    <x:row r="43">
      <x:c r="A43" t="n">
        <x:v>42</x:v>
      </x:c>
      <x:c r="B43" t="n">
        <x:v>8</x:v>
      </x:c>
      <x:c r="C43" t="n">
        <x:v>0</x:v>
      </x:c>
      <x:c r="D43" t="n">
        <x:v>0</x:v>
      </x:c>
      <x:c r="E43" t="n">
        <x:v>22</x:v>
      </x:c>
      <x:c r="F43" t="n">
        <x:v>2</x:v>
      </x:c>
      <x:c r="G43" t="n">
        <x:v>0</x:v>
      </x:c>
    </x:row>
    <x:row r="44">
      <x:c r="A44" t="n">
        <x:v>43</x:v>
      </x:c>
      <x:c r="B44" t="n">
        <x:v>6</x:v>
      </x:c>
      <x:c r="C44" t="n">
        <x:v>0</x:v>
      </x:c>
      <x:c r="D44" t="n">
        <x:v>0</x:v>
      </x:c>
      <x:c r="E44" t="n">
        <x:v>41</x:v>
      </x:c>
      <x:c r="F44" t="n">
        <x:v>8</x:v>
      </x:c>
      <x:c r="G44" t="n">
        <x:v>1</x:v>
      </x:c>
    </x:row>
    <x:row r="45">
      <x:c r="A45" t="n">
        <x:v>44</x:v>
      </x:c>
      <x:c r="B45" t="n">
        <x:v>38</x:v>
      </x:c>
      <x:c r="C45" t="n">
        <x:v>1</x:v>
      </x:c>
      <x:c r="D45" t="n">
        <x:v>1</x:v>
      </x:c>
      <x:c r="E45" t="n">
        <x:v>3</x:v>
      </x:c>
      <x:c r="F45" t="n">
        <x:v>5</x:v>
      </x:c>
      <x:c r="G45" t="n">
        <x:v>0</x:v>
      </x:c>
    </x:row>
    <x:row r="46">
      <x:c r="A46" t="n">
        <x:v>45</x:v>
      </x:c>
      <x:c r="B46" t="n">
        <x:v>68</x:v>
      </x:c>
      <x:c r="C46" t="n">
        <x:v>1</x:v>
      </x:c>
      <x:c r="D46" t="n">
        <x:v>1</x:v>
      </x:c>
      <x:c r="E46" t="n">
        <x:v>67</x:v>
      </x:c>
      <x:c r="F46" t="n">
        <x:v>19</x:v>
      </x:c>
      <x:c r="G46" t="n">
        <x:v>0</x:v>
      </x:c>
    </x:row>
    <x:row r="47">
      <x:c r="A47" t="n">
        <x:v>46</x:v>
      </x:c>
      <x:c r="B47" t="n">
        <x:v>57</x:v>
      </x:c>
      <x:c r="C47" t="n">
        <x:v>1</x:v>
      </x:c>
      <x:c r="D47" t="n">
        <x:v>1</x:v>
      </x:c>
      <x:c r="E47" t="n">
        <x:v>83</x:v>
      </x:c>
      <x:c r="F47" t="n">
        <x:v>1</x:v>
      </x:c>
      <x:c r="G47" t="n">
        <x:v>1</x:v>
      </x:c>
    </x:row>
    <x:row r="48">
      <x:c r="A48" t="n">
        <x:v>47</x:v>
      </x:c>
      <x:c r="B48" t="n">
        <x:v>46</x:v>
      </x:c>
      <x:c r="C48" t="n">
        <x:v>0</x:v>
      </x:c>
      <x:c r="D48" t="n">
        <x:v>0</x:v>
      </x:c>
      <x:c r="E48" t="n">
        <x:v>74</x:v>
      </x:c>
      <x:c r="F48" t="n">
        <x:v>20</x:v>
      </x:c>
      <x:c r="G48" t="n">
        <x:v>1</x:v>
      </x:c>
    </x:row>
    <x:row r="49">
      <x:c r="A49" t="n">
        <x:v>48</x:v>
      </x:c>
      <x:c r="B49" t="n">
        <x:v>48</x:v>
      </x:c>
      <x:c r="C49" t="n">
        <x:v>0</x:v>
      </x:c>
      <x:c r="D49" t="n">
        <x:v>0</x:v>
      </x:c>
      <x:c r="E49" t="n">
        <x:v>32</x:v>
      </x:c>
      <x:c r="F49" t="n">
        <x:v>5</x:v>
      </x:c>
      <x:c r="G49" t="n">
        <x:v>0</x:v>
      </x:c>
    </x:row>
    <x:row r="50">
      <x:c r="A50" t="n">
        <x:v>49</x:v>
      </x:c>
      <x:c r="B50" t="n">
        <x:v>30</x:v>
      </x:c>
      <x:c r="C50" t="n">
        <x:v>1</x:v>
      </x:c>
      <x:c r="D50" t="n">
        <x:v>1</x:v>
      </x:c>
      <x:c r="E50" t="n">
        <x:v>3</x:v>
      </x:c>
      <x:c r="F50" t="n">
        <x:v>3</x:v>
      </x:c>
      <x:c r="G50" t="n">
        <x:v>0</x:v>
      </x:c>
    </x:row>
    <x:row r="51">
      <x:c r="A51" t="n">
        <x:v>50</x:v>
      </x:c>
      <x:c r="B51" t="n">
        <x:v>19</x:v>
      </x:c>
      <x:c r="C51" t="n">
        <x:v>0</x:v>
      </x:c>
      <x:c r="D51" t="n">
        <x:v>0</x:v>
      </x:c>
      <x:c r="E51" t="n">
        <x:v>25</x:v>
      </x:c>
      <x:c r="F51" t="n">
        <x:v>13</x:v>
      </x:c>
      <x:c r="G51" t="n">
        <x:v>1</x:v>
      </x:c>
    </x:row>
    <x:row r="52">
      <x:c r="A52" t="n">
        <x:v>51</x:v>
      </x:c>
      <x:c r="B52" t="n">
        <x:v>15</x:v>
      </x:c>
      <x:c r="C52" t="n">
        <x:v>1</x:v>
      </x:c>
      <x:c r="D52" t="n">
        <x:v>1</x:v>
      </x:c>
      <x:c r="E52" t="n">
        <x:v>34</x:v>
      </x:c>
      <x:c r="F52" t="n">
        <x:v>11</x:v>
      </x:c>
      <x:c r="G52" t="n">
        <x:v>1</x:v>
      </x:c>
    </x:row>
    <x:row r="53">
      <x:c r="A53" t="n">
        <x:v>52</x:v>
      </x:c>
      <x:c r="B53" t="n">
        <x:v>49</x:v>
      </x:c>
      <x:c r="C53" t="n">
        <x:v>1</x:v>
      </x:c>
      <x:c r="D53" t="n">
        <x:v>1</x:v>
      </x:c>
      <x:c r="E53" t="n">
        <x:v>84</x:v>
      </x:c>
      <x:c r="F53" t="n">
        <x:v>18</x:v>
      </x:c>
      <x:c r="G53" t="n">
        <x:v>0</x:v>
      </x:c>
    </x:row>
    <x:row r="54">
      <x:c r="A54" t="n">
        <x:v>53</x:v>
      </x:c>
      <x:c r="B54" t="n">
        <x:v>31</x:v>
      </x:c>
      <x:c r="C54" t="n">
        <x:v>1</x:v>
      </x:c>
      <x:c r="D54" t="n">
        <x:v>0</x:v>
      </x:c>
      <x:c r="E54" t="n">
        <x:v>71</x:v>
      </x:c>
      <x:c r="F54" t="n">
        <x:v>0</x:v>
      </x:c>
      <x:c r="G54" t="n">
        <x:v>0</x:v>
      </x:c>
    </x:row>
    <x:row r="55">
      <x:c r="A55" t="n">
        <x:v>54</x:v>
      </x:c>
      <x:c r="B55" t="n">
        <x:v>43</x:v>
      </x:c>
      <x:c r="C55" t="n">
        <x:v>1</x:v>
      </x:c>
      <x:c r="D55" t="n">
        <x:v>1</x:v>
      </x:c>
      <x:c r="E55" t="n">
        <x:v>79</x:v>
      </x:c>
      <x:c r="F55" t="n">
        <x:v>3</x:v>
      </x:c>
      <x:c r="G55" t="n">
        <x:v>1</x:v>
      </x:c>
    </x:row>
    <x:row r="56">
      <x:c r="A56" t="n">
        <x:v>55</x:v>
      </x:c>
      <x:c r="B56" t="n">
        <x:v>57</x:v>
      </x:c>
      <x:c r="C56" t="n">
        <x:v>1</x:v>
      </x:c>
      <x:c r="D56" t="n">
        <x:v>1</x:v>
      </x:c>
      <x:c r="E56" t="n">
        <x:v>65</x:v>
      </x:c>
      <x:c r="F56" t="n">
        <x:v>18</x:v>
      </x:c>
      <x:c r="G56" t="n">
        <x:v>1</x:v>
      </x:c>
    </x:row>
    <x:row r="57">
      <x:c r="A57" t="n">
        <x:v>56</x:v>
      </x:c>
      <x:c r="B57" t="n">
        <x:v>13</x:v>
      </x:c>
      <x:c r="C57" t="n">
        <x:v>1</x:v>
      </x:c>
      <x:c r="D57" t="n">
        <x:v>1</x:v>
      </x:c>
      <x:c r="E57" t="n">
        <x:v>36</x:v>
      </x:c>
      <x:c r="F57" t="n">
        <x:v>13</x:v>
      </x:c>
      <x:c r="G57" t="n">
        <x:v>1</x:v>
      </x:c>
    </x:row>
    <x:row r="58">
      <x:c r="A58" t="n">
        <x:v>57</x:v>
      </x:c>
      <x:c r="B58" t="n">
        <x:v>31</x:v>
      </x:c>
      <x:c r="C58" t="n">
        <x:v>1</x:v>
      </x:c>
      <x:c r="D58" t="n">
        <x:v>1</x:v>
      </x:c>
      <x:c r="E58" t="n">
        <x:v>78</x:v>
      </x:c>
      <x:c r="F58" t="n">
        <x:v>13</x:v>
      </x:c>
      <x:c r="G58" t="n">
        <x:v>0</x:v>
      </x:c>
    </x:row>
    <x:row r="59">
      <x:c r="A59" t="n">
        <x:v>58</x:v>
      </x:c>
      <x:c r="B59" t="n">
        <x:v>62</x:v>
      </x:c>
      <x:c r="C59" t="n">
        <x:v>1</x:v>
      </x:c>
      <x:c r="D59" t="n">
        <x:v>1</x:v>
      </x:c>
      <x:c r="E59" t="n">
        <x:v>74</x:v>
      </x:c>
      <x:c r="F59" t="n">
        <x:v>9</x:v>
      </x:c>
      <x:c r="G59" t="n">
        <x:v>1</x:v>
      </x:c>
    </x:row>
    <x:row r="60">
      <x:c r="A60" t="n">
        <x:v>59</x:v>
      </x:c>
      <x:c r="B60" t="n">
        <x:v>16</x:v>
      </x:c>
      <x:c r="C60" t="n">
        <x:v>1</x:v>
      </x:c>
      <x:c r="D60" t="n">
        <x:v>1</x:v>
      </x:c>
      <x:c r="E60" t="n">
        <x:v>44</x:v>
      </x:c>
      <x:c r="F60" t="n">
        <x:v>4</x:v>
      </x:c>
      <x:c r="G60" t="n">
        <x:v>1</x:v>
      </x:c>
    </x:row>
    <x:row r="61">
      <x:c r="A61" t="n">
        <x:v>60</x:v>
      </x:c>
      <x:c r="B61" t="n">
        <x:v>41</x:v>
      </x:c>
      <x:c r="C61" t="n">
        <x:v>0</x:v>
      </x:c>
      <x:c r="D61" t="n">
        <x:v>0</x:v>
      </x:c>
      <x:c r="E61" t="n">
        <x:v>65</x:v>
      </x:c>
      <x:c r="F61" t="n">
        <x:v>9</x:v>
      </x:c>
      <x:c r="G61" t="n">
        <x:v>0</x:v>
      </x:c>
    </x:row>
    <x:row r="62">
      <x:c r="A62" t="n">
        <x:v>61</x:v>
      </x:c>
      <x:c r="B62" t="n">
        <x:v>48</x:v>
      </x:c>
      <x:c r="C62" t="n">
        <x:v>1</x:v>
      </x:c>
      <x:c r="D62" t="n">
        <x:v>1</x:v>
      </x:c>
      <x:c r="E62" t="n">
        <x:v>31</x:v>
      </x:c>
      <x:c r="F62" t="n">
        <x:v>12</x:v>
      </x:c>
      <x:c r="G62" t="n">
        <x:v>0</x:v>
      </x:c>
    </x:row>
    <x:row r="63">
      <x:c r="A63" t="n">
        <x:v>62</x:v>
      </x:c>
      <x:c r="B63" t="n">
        <x:v>12</x:v>
      </x:c>
      <x:c r="C63" t="n">
        <x:v>1</x:v>
      </x:c>
      <x:c r="D63" t="n">
        <x:v>1</x:v>
      </x:c>
      <x:c r="E63" t="n">
        <x:v>84</x:v>
      </x:c>
      <x:c r="F63" t="n">
        <x:v>7</x:v>
      </x:c>
      <x:c r="G63" t="n">
        <x:v>1</x:v>
      </x:c>
    </x:row>
    <x:row r="64">
      <x:c r="A64" t="n">
        <x:v>63</x:v>
      </x:c>
      <x:c r="B64" t="n">
        <x:v>66</x:v>
      </x:c>
      <x:c r="C64" t="n">
        <x:v>1</x:v>
      </x:c>
      <x:c r="D64" t="n">
        <x:v>1</x:v>
      </x:c>
      <x:c r="E64" t="n">
        <x:v>62</x:v>
      </x:c>
      <x:c r="F64" t="n">
        <x:v>9</x:v>
      </x:c>
      <x:c r="G64" t="n">
        <x:v>1</x:v>
      </x:c>
    </x:row>
    <x:row r="65">
      <x:c r="A65" t="n">
        <x:v>64</x:v>
      </x:c>
      <x:c r="B65" t="n">
        <x:v>20</x:v>
      </x:c>
      <x:c r="C65" t="n">
        <x:v>1</x:v>
      </x:c>
      <x:c r="D65" t="n">
        <x:v>0</x:v>
      </x:c>
      <x:c r="E65" t="n">
        <x:v>35</x:v>
      </x:c>
      <x:c r="F65" t="n">
        <x:v>2</x:v>
      </x:c>
      <x:c r="G65" t="n">
        <x:v>0</x:v>
      </x:c>
    </x:row>
    <x:row r="66">
      <x:c r="A66" t="n">
        <x:v>65</x:v>
      </x:c>
      <x:c r="B66" t="n">
        <x:v>70</x:v>
      </x:c>
      <x:c r="C66" t="n">
        <x:v>0</x:v>
      </x:c>
      <x:c r="D66" t="n">
        <x:v>0</x:v>
      </x:c>
      <x:c r="E66" t="n">
        <x:v>40</x:v>
      </x:c>
      <x:c r="F66" t="n">
        <x:v>2</x:v>
      </x:c>
      <x:c r="G66" t="n">
        <x:v>1</x:v>
      </x:c>
    </x:row>
    <x:row r="67">
      <x:c r="A67" t="n">
        <x:v>66</x:v>
      </x:c>
      <x:c r="B67" t="n">
        <x:v>49</x:v>
      </x:c>
      <x:c r="C67" t="n">
        <x:v>1</x:v>
      </x:c>
      <x:c r="D67" t="n">
        <x:v>1</x:v>
      </x:c>
      <x:c r="E67" t="n">
        <x:v>3</x:v>
      </x:c>
      <x:c r="F67" t="n">
        <x:v>10</x:v>
      </x:c>
      <x:c r="G67" t="n">
        <x:v>0</x:v>
      </x:c>
    </x:row>
    <x:row r="68">
      <x:c r="A68" t="n">
        <x:v>67</x:v>
      </x:c>
      <x:c r="B68" t="n">
        <x:v>67</x:v>
      </x:c>
      <x:c r="C68" t="n">
        <x:v>1</x:v>
      </x:c>
      <x:c r="D68" t="n">
        <x:v>0</x:v>
      </x:c>
      <x:c r="E68" t="n">
        <x:v>15</x:v>
      </x:c>
      <x:c r="F68" t="n">
        <x:v>17</x:v>
      </x:c>
      <x:c r="G68" t="n">
        <x:v>0</x:v>
      </x:c>
    </x:row>
    <x:row r="69">
      <x:c r="A69" t="n">
        <x:v>68</x:v>
      </x:c>
      <x:c r="B69" t="n">
        <x:v>29</x:v>
      </x:c>
      <x:c r="C69" t="n">
        <x:v>1</x:v>
      </x:c>
      <x:c r="D69" t="n">
        <x:v>1</x:v>
      </x:c>
      <x:c r="E69" t="n">
        <x:v>86</x:v>
      </x:c>
      <x:c r="F69" t="n">
        <x:v>12</x:v>
      </x:c>
      <x:c r="G69" t="n">
        <x:v>1</x:v>
      </x:c>
    </x:row>
    <x:row r="70">
      <x:c r="A70" t="n">
        <x:v>69</x:v>
      </x:c>
      <x:c r="B70" t="n">
        <x:v>34</x:v>
      </x:c>
      <x:c r="C70" t="n">
        <x:v>0</x:v>
      </x:c>
      <x:c r="D70" t="n">
        <x:v>0</x:v>
      </x:c>
      <x:c r="E70" t="n">
        <x:v>52</x:v>
      </x:c>
      <x:c r="F70" t="n">
        <x:v>19</x:v>
      </x:c>
      <x:c r="G70" t="n">
        <x:v>0</x:v>
      </x:c>
    </x:row>
    <x:row r="71">
      <x:c r="A71" t="n">
        <x:v>70</x:v>
      </x:c>
      <x:c r="B71" t="n">
        <x:v>21</x:v>
      </x:c>
      <x:c r="C71" t="n">
        <x:v>0</x:v>
      </x:c>
      <x:c r="D71" t="n">
        <x:v>0</x:v>
      </x:c>
      <x:c r="E71" t="n">
        <x:v>55</x:v>
      </x:c>
      <x:c r="F71" t="n">
        <x:v>5</x:v>
      </x:c>
      <x:c r="G71" t="n">
        <x:v>0</x:v>
      </x:c>
    </x:row>
    <x:row r="72">
      <x:c r="A72" t="n">
        <x:v>71</x:v>
      </x:c>
      <x:c r="B72" t="n">
        <x:v>74</x:v>
      </x:c>
      <x:c r="C72" t="n">
        <x:v>1</x:v>
      </x:c>
      <x:c r="D72" t="n">
        <x:v>0</x:v>
      </x:c>
      <x:c r="E72" t="n">
        <x:v>72</x:v>
      </x:c>
      <x:c r="F72" t="n">
        <x:v>17</x:v>
      </x:c>
      <x:c r="G72" t="n">
        <x:v>0</x:v>
      </x:c>
    </x:row>
    <x:row r="73">
      <x:c r="A73" t="n">
        <x:v>72</x:v>
      </x:c>
      <x:c r="B73" t="n">
        <x:v>75</x:v>
      </x:c>
      <x:c r="C73" t="n">
        <x:v>0</x:v>
      </x:c>
      <x:c r="D73" t="n">
        <x:v>0</x:v>
      </x:c>
      <x:c r="E73" t="n">
        <x:v>47</x:v>
      </x:c>
      <x:c r="F73" t="n">
        <x:v>18</x:v>
      </x:c>
      <x:c r="G73" t="n">
        <x:v>0</x:v>
      </x:c>
    </x:row>
    <x:row r="74">
      <x:c r="A74" t="n">
        <x:v>73</x:v>
      </x:c>
      <x:c r="B74" t="n">
        <x:v>51</x:v>
      </x:c>
      <x:c r="C74" t="n">
        <x:v>1</x:v>
      </x:c>
      <x:c r="D74" t="n">
        <x:v>1</x:v>
      </x:c>
      <x:c r="E74" t="n">
        <x:v>37</x:v>
      </x:c>
      <x:c r="F74" t="n">
        <x:v>13</x:v>
      </x:c>
      <x:c r="G74" t="n">
        <x:v>1</x:v>
      </x:c>
    </x:row>
    <x:row r="75">
      <x:c r="A75" t="n">
        <x:v>74</x:v>
      </x:c>
      <x:c r="B75" t="n">
        <x:v>41</x:v>
      </x:c>
      <x:c r="C75" t="n">
        <x:v>0</x:v>
      </x:c>
      <x:c r="D75" t="n">
        <x:v>0</x:v>
      </x:c>
      <x:c r="E75" t="n">
        <x:v>22</x:v>
      </x:c>
      <x:c r="F75" t="n">
        <x:v>10</x:v>
      </x:c>
      <x:c r="G75" t="n">
        <x:v>1</x:v>
      </x:c>
    </x:row>
    <x:row r="76">
      <x:c r="A76" t="n">
        <x:v>75</x:v>
      </x:c>
      <x:c r="B76" t="n">
        <x:v>8</x:v>
      </x:c>
      <x:c r="C76" t="n">
        <x:v>1</x:v>
      </x:c>
      <x:c r="D76" t="n">
        <x:v>1</x:v>
      </x:c>
      <x:c r="E76" t="n">
        <x:v>84</x:v>
      </x:c>
      <x:c r="F76" t="n">
        <x:v>8</x:v>
      </x:c>
      <x:c r="G76" t="n">
        <x:v>1</x:v>
      </x:c>
    </x:row>
    <x:row r="77">
      <x:c r="A77" t="n">
        <x:v>76</x:v>
      </x:c>
      <x:c r="B77" t="n">
        <x:v>54</x:v>
      </x:c>
      <x:c r="C77" t="n">
        <x:v>1</x:v>
      </x:c>
      <x:c r="D77" t="n">
        <x:v>1</x:v>
      </x:c>
      <x:c r="E77" t="n">
        <x:v>48</x:v>
      </x:c>
      <x:c r="F77" t="n">
        <x:v>14</x:v>
      </x:c>
      <x:c r="G77" t="n">
        <x:v>1</x:v>
      </x:c>
    </x:row>
    <x:row r="78">
      <x:c r="A78" t="n">
        <x:v>77</x:v>
      </x:c>
      <x:c r="B78" t="n">
        <x:v>61</x:v>
      </x:c>
      <x:c r="C78" t="n">
        <x:v>1</x:v>
      </x:c>
      <x:c r="D78" t="n">
        <x:v>1</x:v>
      </x:c>
      <x:c r="E78" t="n">
        <x:v>21</x:v>
      </x:c>
      <x:c r="F78" t="n">
        <x:v>4</x:v>
      </x:c>
      <x:c r="G78" t="n">
        <x:v>0</x:v>
      </x:c>
    </x:row>
    <x:row r="79">
      <x:c r="A79" t="n">
        <x:v>78</x:v>
      </x:c>
      <x:c r="B79" t="n">
        <x:v>46</x:v>
      </x:c>
      <x:c r="C79" t="n">
        <x:v>0</x:v>
      </x:c>
      <x:c r="D79" t="n">
        <x:v>0</x:v>
      </x:c>
      <x:c r="E79" t="n">
        <x:v>6</x:v>
      </x:c>
      <x:c r="F79" t="n">
        <x:v>16</x:v>
      </x:c>
      <x:c r="G79" t="n">
        <x:v>1</x:v>
      </x:c>
    </x:row>
    <x:row r="80">
      <x:c r="A80" t="n">
        <x:v>79</x:v>
      </x:c>
      <x:c r="B80" t="n">
        <x:v>62</x:v>
      </x:c>
      <x:c r="C80" t="n">
        <x:v>0</x:v>
      </x:c>
      <x:c r="D80" t="n">
        <x:v>0</x:v>
      </x:c>
      <x:c r="E80" t="n">
        <x:v>37</x:v>
      </x:c>
      <x:c r="F80" t="n">
        <x:v>8</x:v>
      </x:c>
      <x:c r="G80" t="n">
        <x:v>0</x:v>
      </x:c>
    </x:row>
    <x:row r="81">
      <x:c r="A81" t="n">
        <x:v>80</x:v>
      </x:c>
      <x:c r="B81" t="n">
        <x:v>23</x:v>
      </x:c>
      <x:c r="C81" t="n">
        <x:v>1</x:v>
      </x:c>
      <x:c r="D81" t="n">
        <x:v>1</x:v>
      </x:c>
      <x:c r="E81" t="n">
        <x:v>53</x:v>
      </x:c>
      <x:c r="F81" t="n">
        <x:v>3</x:v>
      </x:c>
      <x:c r="G81" t="n">
        <x:v>1</x:v>
      </x:c>
    </x:row>
    <x:row r="82">
      <x:c r="A82" t="n">
        <x:v>81</x:v>
      </x:c>
      <x:c r="B82" t="n">
        <x:v>56</x:v>
      </x:c>
      <x:c r="C82" t="n">
        <x:v>1</x:v>
      </x:c>
      <x:c r="D82" t="n">
        <x:v>1</x:v>
      </x:c>
      <x:c r="E82" t="n">
        <x:v>63</x:v>
      </x:c>
      <x:c r="F82" t="n">
        <x:v>14</x:v>
      </x:c>
      <x:c r="G82" t="n">
        <x:v>1</x:v>
      </x:c>
    </x:row>
    <x:row r="83">
      <x:c r="A83" t="n">
        <x:v>82</x:v>
      </x:c>
      <x:c r="B83" t="n">
        <x:v>40</x:v>
      </x:c>
      <x:c r="C83" t="n">
        <x:v>1</x:v>
      </x:c>
      <x:c r="D83" t="n">
        <x:v>1</x:v>
      </x:c>
      <x:c r="E83" t="n">
        <x:v>23</x:v>
      </x:c>
      <x:c r="F83" t="n">
        <x:v>6</x:v>
      </x:c>
      <x:c r="G83" t="n">
        <x:v>1</x:v>
      </x:c>
    </x:row>
    <x:row r="84">
      <x:c r="A84" t="n">
        <x:v>83</x:v>
      </x:c>
      <x:c r="B84" t="n">
        <x:v>19</x:v>
      </x:c>
      <x:c r="C84" t="n">
        <x:v>1</x:v>
      </x:c>
      <x:c r="D84" t="n">
        <x:v>0</x:v>
      </x:c>
      <x:c r="E84" t="n">
        <x:v>22</x:v>
      </x:c>
      <x:c r="F84" t="n">
        <x:v>4</x:v>
      </x:c>
      <x:c r="G84" t="n">
        <x:v>0</x:v>
      </x:c>
    </x:row>
    <x:row r="85">
      <x:c r="A85" t="n">
        <x:v>84</x:v>
      </x:c>
      <x:c r="B85" t="n">
        <x:v>21</x:v>
      </x:c>
      <x:c r="C85" t="n">
        <x:v>1</x:v>
      </x:c>
      <x:c r="D85" t="n">
        <x:v>1</x:v>
      </x:c>
      <x:c r="E85" t="n">
        <x:v>28</x:v>
      </x:c>
      <x:c r="F85" t="n">
        <x:v>1</x:v>
      </x:c>
      <x:c r="G85" t="n">
        <x:v>0</x:v>
      </x:c>
    </x:row>
    <x:row r="86">
      <x:c r="A86" t="n">
        <x:v>85</x:v>
      </x:c>
      <x:c r="B86" t="n">
        <x:v>42</x:v>
      </x:c>
      <x:c r="C86" t="n">
        <x:v>1</x:v>
      </x:c>
      <x:c r="D86" t="n">
        <x:v>1</x:v>
      </x:c>
      <x:c r="E86" t="n">
        <x:v>62</x:v>
      </x:c>
      <x:c r="F86" t="n">
        <x:v>6</x:v>
      </x:c>
      <x:c r="G86" t="n">
        <x:v>0</x:v>
      </x:c>
    </x:row>
    <x:row r="87">
      <x:c r="A87" t="n">
        <x:v>86</x:v>
      </x:c>
      <x:c r="B87" t="n">
        <x:v>57</x:v>
      </x:c>
      <x:c r="C87" t="n">
        <x:v>1</x:v>
      </x:c>
      <x:c r="D87" t="n">
        <x:v>1</x:v>
      </x:c>
      <x:c r="E87" t="n">
        <x:v>79</x:v>
      </x:c>
      <x:c r="F87" t="n">
        <x:v>10</x:v>
      </x:c>
      <x:c r="G87" t="n">
        <x:v>1</x:v>
      </x:c>
    </x:row>
    <x:row r="88">
      <x:c r="A88" t="n">
        <x:v>87</x:v>
      </x:c>
      <x:c r="B88" t="n">
        <x:v>19</x:v>
      </x:c>
      <x:c r="C88" t="n">
        <x:v>1</x:v>
      </x:c>
      <x:c r="D88" t="n">
        <x:v>0</x:v>
      </x:c>
      <x:c r="E88" t="n">
        <x:v>67</x:v>
      </x:c>
      <x:c r="F88" t="n">
        <x:v>11</x:v>
      </x:c>
      <x:c r="G88" t="n">
        <x:v>0</x:v>
      </x:c>
    </x:row>
    <x:row r="89">
      <x:c r="A89" t="n">
        <x:v>88</x:v>
      </x:c>
      <x:c r="B89" t="n">
        <x:v>4</x:v>
      </x:c>
      <x:c r="C89" t="n">
        <x:v>1</x:v>
      </x:c>
      <x:c r="D89" t="n">
        <x:v>1</x:v>
      </x:c>
      <x:c r="E89" t="n">
        <x:v>62</x:v>
      </x:c>
      <x:c r="F89" t="n">
        <x:v>3</x:v>
      </x:c>
      <x:c r="G89" t="n">
        <x:v>1</x:v>
      </x:c>
    </x:row>
    <x:row r="90">
      <x:c r="A90" t="n">
        <x:v>89</x:v>
      </x:c>
      <x:c r="B90" t="n">
        <x:v>35</x:v>
      </x:c>
      <x:c r="C90" t="n">
        <x:v>1</x:v>
      </x:c>
      <x:c r="D90" t="n">
        <x:v>0</x:v>
      </x:c>
      <x:c r="E90" t="n">
        <x:v>70</x:v>
      </x:c>
      <x:c r="F90" t="n">
        <x:v>7</x:v>
      </x:c>
      <x:c r="G90" t="n">
        <x:v>1</x:v>
      </x:c>
    </x:row>
    <x:row r="91">
      <x:c r="A91" t="n">
        <x:v>90</x:v>
      </x:c>
      <x:c r="B91" t="n">
        <x:v>31</x:v>
      </x:c>
      <x:c r="C91" t="n">
        <x:v>0</x:v>
      </x:c>
      <x:c r="D91" t="n">
        <x:v>0</x:v>
      </x:c>
      <x:c r="E91" t="n">
        <x:v>8</x:v>
      </x:c>
      <x:c r="F91" t="n">
        <x:v>16</x:v>
      </x:c>
      <x:c r="G91" t="n">
        <x:v>0</x:v>
      </x:c>
    </x:row>
    <x:row r="92">
      <x:c r="A92" t="n">
        <x:v>91</x:v>
      </x:c>
      <x:c r="B92" t="n">
        <x:v>13</x:v>
      </x:c>
      <x:c r="C92" t="n">
        <x:v>1</x:v>
      </x:c>
      <x:c r="D92" t="n">
        <x:v>1</x:v>
      </x:c>
      <x:c r="E92" t="n">
        <x:v>54</x:v>
      </x:c>
      <x:c r="F92" t="n">
        <x:v>14</x:v>
      </x:c>
      <x:c r="G92" t="n">
        <x:v>0</x:v>
      </x:c>
    </x:row>
    <x:row r="93">
      <x:c r="A93" t="n">
        <x:v>92</x:v>
      </x:c>
      <x:c r="B93" t="n">
        <x:v>67</x:v>
      </x:c>
      <x:c r="C93" t="n">
        <x:v>1</x:v>
      </x:c>
      <x:c r="D93" t="n">
        <x:v>1</x:v>
      </x:c>
      <x:c r="E93" t="n">
        <x:v>44</x:v>
      </x:c>
      <x:c r="F93" t="n">
        <x:v>0</x:v>
      </x:c>
      <x:c r="G93" t="n">
        <x:v>1</x:v>
      </x:c>
    </x:row>
    <x:row r="94">
      <x:c r="A94" t="n">
        <x:v>93</x:v>
      </x:c>
      <x:c r="B94" t="n">
        <x:v>48</x:v>
      </x:c>
      <x:c r="C94" t="n">
        <x:v>0</x:v>
      </x:c>
      <x:c r="D94" t="n">
        <x:v>0</x:v>
      </x:c>
      <x:c r="E94" t="n">
        <x:v>55</x:v>
      </x:c>
      <x:c r="F94" t="n">
        <x:v>4</x:v>
      </x:c>
      <x:c r="G94" t="n">
        <x:v>1</x:v>
      </x:c>
    </x:row>
    <x:row r="95">
      <x:c r="A95" t="n">
        <x:v>94</x:v>
      </x:c>
      <x:c r="B95" t="n">
        <x:v>37</x:v>
      </x:c>
      <x:c r="C95" t="n">
        <x:v>0</x:v>
      </x:c>
      <x:c r="D95" t="n">
        <x:v>0</x:v>
      </x:c>
      <x:c r="E95" t="n">
        <x:v>18</x:v>
      </x:c>
      <x:c r="F95" t="n">
        <x:v>3</x:v>
      </x:c>
      <x:c r="G95" t="n">
        <x:v>1</x:v>
      </x:c>
    </x:row>
    <x:row r="96">
      <x:c r="A96" t="n">
        <x:v>95</x:v>
      </x:c>
      <x:c r="B96" t="n">
        <x:v>64</x:v>
      </x:c>
      <x:c r="C96" t="n">
        <x:v>1</x:v>
      </x:c>
      <x:c r="D96" t="n">
        <x:v>1</x:v>
      </x:c>
      <x:c r="E96" t="n">
        <x:v>14</x:v>
      </x:c>
      <x:c r="F96" t="n">
        <x:v>13</x:v>
      </x:c>
      <x:c r="G96" t="n">
        <x:v>0</x:v>
      </x:c>
    </x:row>
    <x:row r="97">
      <x:c r="A97" t="n">
        <x:v>96</x:v>
      </x:c>
      <x:c r="B97" t="n">
        <x:v>12</x:v>
      </x:c>
      <x:c r="C97" t="n">
        <x:v>1</x:v>
      </x:c>
      <x:c r="D97" t="n">
        <x:v>0</x:v>
      </x:c>
      <x:c r="E97" t="n">
        <x:v>1</x:v>
      </x:c>
      <x:c r="F97" t="n">
        <x:v>2</x:v>
      </x:c>
      <x:c r="G97" t="n">
        <x:v>0</x:v>
      </x:c>
    </x:row>
    <x:row r="98">
      <x:c r="A98" t="n">
        <x:v>97</x:v>
      </x:c>
      <x:c r="B98" t="n">
        <x:v>34</x:v>
      </x:c>
      <x:c r="C98" t="n">
        <x:v>0</x:v>
      </x:c>
      <x:c r="D98" t="n">
        <x:v>0</x:v>
      </x:c>
      <x:c r="E98" t="n">
        <x:v>76</x:v>
      </x:c>
      <x:c r="F98" t="n">
        <x:v>19</x:v>
      </x:c>
      <x:c r="G98" t="n">
        <x:v>0</x:v>
      </x:c>
    </x:row>
    <x:row r="99">
      <x:c r="A99" t="n">
        <x:v>98</x:v>
      </x:c>
      <x:c r="B99" t="n">
        <x:v>15</x:v>
      </x:c>
      <x:c r="C99" t="n">
        <x:v>1</x:v>
      </x:c>
      <x:c r="D99" t="n">
        <x:v>0</x:v>
      </x:c>
      <x:c r="E99" t="n">
        <x:v>41</x:v>
      </x:c>
      <x:c r="F99" t="n">
        <x:v>1</x:v>
      </x:c>
      <x:c r="G99" t="n">
        <x:v>1</x:v>
      </x:c>
    </x:row>
    <x:row r="100">
      <x:c r="A100" t="n">
        <x:v>99</x:v>
      </x:c>
      <x:c r="B100" t="n">
        <x:v>66</x:v>
      </x:c>
      <x:c r="C100" t="n">
        <x:v>1</x:v>
      </x:c>
      <x:c r="D100" t="n">
        <x:v>1</x:v>
      </x:c>
      <x:c r="E100" t="n">
        <x:v>40</x:v>
      </x:c>
      <x:c r="F100" t="n">
        <x:v>0</x:v>
      </x:c>
      <x:c r="G100" t="n">
        <x:v>1</x:v>
      </x:c>
    </x:row>
    <x:row r="101">
      <x:c r="A101" t="n">
        <x:v>100</x:v>
      </x:c>
      <x:c r="B101" t="n">
        <x:v>34</x:v>
      </x:c>
      <x:c r="C101" t="n">
        <x:v>1</x:v>
      </x:c>
      <x:c r="D101" t="n">
        <x:v>0</x:v>
      </x:c>
      <x:c r="E101" t="n">
        <x:v>53</x:v>
      </x:c>
      <x:c r="F101" t="n">
        <x:v>6</x:v>
      </x:c>
      <x:c r="G101" t="n">
        <x:v>1</x:v>
      </x:c>
    </x:row>
    <x:row r="102">
      <x:c r="A102" t="n">
        <x:v>101</x:v>
      </x:c>
      <x:c r="B102" t="n">
        <x:v>33</x:v>
      </x:c>
      <x:c r="C102" t="n">
        <x:v>0</x:v>
      </x:c>
      <x:c r="D102" t="n">
        <x:v>0</x:v>
      </x:c>
      <x:c r="E102" t="n">
        <x:v>83</x:v>
      </x:c>
      <x:c r="F102" t="n">
        <x:v>20</x:v>
      </x:c>
      <x:c r="G102" t="n">
        <x:v>0</x:v>
      </x:c>
    </x:row>
    <x:row r="103">
      <x:c r="A103" t="n">
        <x:v>102</x:v>
      </x:c>
      <x:c r="B103" t="n">
        <x:v>26</x:v>
      </x:c>
      <x:c r="C103" t="n">
        <x:v>1</x:v>
      </x:c>
      <x:c r="D103" t="n">
        <x:v>1</x:v>
      </x:c>
      <x:c r="E103" t="n">
        <x:v>16</x:v>
      </x:c>
      <x:c r="F103" t="n">
        <x:v>5</x:v>
      </x:c>
      <x:c r="G103" t="n">
        <x:v>0</x:v>
      </x:c>
    </x:row>
    <x:row r="104">
      <x:c r="A104" t="n">
        <x:v>103</x:v>
      </x:c>
      <x:c r="B104" t="n">
        <x:v>23</x:v>
      </x:c>
      <x:c r="C104" t="n">
        <x:v>0</x:v>
      </x:c>
      <x:c r="D104" t="n">
        <x:v>0</x:v>
      </x:c>
      <x:c r="E104" t="n">
        <x:v>54</x:v>
      </x:c>
      <x:c r="F104" t="n">
        <x:v>15</x:v>
      </x:c>
      <x:c r="G104" t="n">
        <x:v>0</x:v>
      </x:c>
    </x:row>
    <x:row r="105">
      <x:c r="A105" t="n">
        <x:v>104</x:v>
      </x:c>
      <x:c r="B105" t="n">
        <x:v>71</x:v>
      </x:c>
      <x:c r="C105" t="n">
        <x:v>1</x:v>
      </x:c>
      <x:c r="D105" t="n">
        <x:v>0</x:v>
      </x:c>
      <x:c r="E105" t="n">
        <x:v>39</x:v>
      </x:c>
      <x:c r="F105" t="n">
        <x:v>9</x:v>
      </x:c>
      <x:c r="G105" t="n">
        <x:v>1</x:v>
      </x:c>
    </x:row>
    <x:row r="106">
      <x:c r="A106" t="n">
        <x:v>105</x:v>
      </x:c>
      <x:c r="B106" t="n">
        <x:v>29</x:v>
      </x:c>
      <x:c r="C106" t="n">
        <x:v>0</x:v>
      </x:c>
      <x:c r="D106" t="n">
        <x:v>0</x:v>
      </x:c>
      <x:c r="E106" t="n">
        <x:v>30</x:v>
      </x:c>
      <x:c r="F106" t="n">
        <x:v>9</x:v>
      </x:c>
      <x:c r="G106" t="n">
        <x:v>0</x:v>
      </x:c>
    </x:row>
    <x:row r="107">
      <x:c r="A107" t="n">
        <x:v>106</x:v>
      </x:c>
      <x:c r="B107" t="n">
        <x:v>74</x:v>
      </x:c>
      <x:c r="C107" t="n">
        <x:v>1</x:v>
      </x:c>
      <x:c r="D107" t="n">
        <x:v>1</x:v>
      </x:c>
      <x:c r="E107" t="n">
        <x:v>24</x:v>
      </x:c>
      <x:c r="F107" t="n">
        <x:v>5</x:v>
      </x:c>
      <x:c r="G107" t="n">
        <x:v>1</x:v>
      </x:c>
    </x:row>
    <x:row r="108">
      <x:c r="A108" t="n">
        <x:v>107</x:v>
      </x:c>
      <x:c r="B108" t="n">
        <x:v>18</x:v>
      </x:c>
      <x:c r="C108" t="n">
        <x:v>1</x:v>
      </x:c>
      <x:c r="D108" t="n">
        <x:v>1</x:v>
      </x:c>
      <x:c r="E108" t="n">
        <x:v>52</x:v>
      </x:c>
      <x:c r="F108" t="n">
        <x:v>17</x:v>
      </x:c>
      <x:c r="G108" t="n">
        <x:v>0</x:v>
      </x:c>
    </x:row>
    <x:row r="109">
      <x:c r="A109" t="n">
        <x:v>108</x:v>
      </x:c>
      <x:c r="B109" t="n">
        <x:v>68</x:v>
      </x:c>
      <x:c r="C109" t="n">
        <x:v>1</x:v>
      </x:c>
      <x:c r="D109" t="n">
        <x:v>1</x:v>
      </x:c>
      <x:c r="E109" t="n">
        <x:v>71</x:v>
      </x:c>
      <x:c r="F109" t="n">
        <x:v>19</x:v>
      </x:c>
      <x:c r="G109" t="n">
        <x:v>0</x:v>
      </x:c>
    </x:row>
    <x:row r="110">
      <x:c r="A110" t="n">
        <x:v>109</x:v>
      </x:c>
      <x:c r="B110" t="n">
        <x:v>36</x:v>
      </x:c>
      <x:c r="C110" t="n">
        <x:v>1</x:v>
      </x:c>
      <x:c r="D110" t="n">
        <x:v>1</x:v>
      </x:c>
      <x:c r="E110" t="n">
        <x:v>61</x:v>
      </x:c>
      <x:c r="F110" t="n">
        <x:v>3</x:v>
      </x:c>
      <x:c r="G110" t="n">
        <x:v>0</x:v>
      </x:c>
    </x:row>
    <x:row r="111">
      <x:c r="A111" t="n">
        <x:v>110</x:v>
      </x:c>
      <x:c r="B111" t="n">
        <x:v>2</x:v>
      </x:c>
      <x:c r="C111" t="n">
        <x:v>0</x:v>
      </x:c>
      <x:c r="D111" t="n">
        <x:v>0</x:v>
      </x:c>
      <x:c r="E111" t="n">
        <x:v>25</x:v>
      </x:c>
      <x:c r="F111" t="n">
        <x:v>10</x:v>
      </x:c>
      <x:c r="G111" t="n">
        <x:v>0</x:v>
      </x:c>
    </x:row>
    <x:row r="112">
      <x:c r="A112" t="n">
        <x:v>111</x:v>
      </x:c>
      <x:c r="B112" t="n">
        <x:v>69</x:v>
      </x:c>
      <x:c r="C112" t="n">
        <x:v>0</x:v>
      </x:c>
      <x:c r="D112" t="n">
        <x:v>0</x:v>
      </x:c>
      <x:c r="E112" t="n">
        <x:v>43</x:v>
      </x:c>
      <x:c r="F112" t="n">
        <x:v>14</x:v>
      </x:c>
      <x:c r="G112" t="n">
        <x:v>0</x:v>
      </x:c>
    </x:row>
    <x:row r="113">
      <x:c r="A113" t="n">
        <x:v>112</x:v>
      </x:c>
      <x:c r="B113" t="n">
        <x:v>20</x:v>
      </x:c>
      <x:c r="C113" t="n">
        <x:v>1</x:v>
      </x:c>
      <x:c r="D113" t="n">
        <x:v>1</x:v>
      </x:c>
      <x:c r="E113" t="n">
        <x:v>67</x:v>
      </x:c>
      <x:c r="F113" t="n">
        <x:v>20</x:v>
      </x:c>
      <x:c r="G113" t="n">
        <x:v>1</x:v>
      </x:c>
    </x:row>
    <x:row r="114">
      <x:c r="A114" t="n">
        <x:v>113</x:v>
      </x:c>
      <x:c r="B114" t="n">
        <x:v>7</x:v>
      </x:c>
      <x:c r="C114" t="n">
        <x:v>0</x:v>
      </x:c>
      <x:c r="D114" t="n">
        <x:v>0</x:v>
      </x:c>
      <x:c r="E114" t="n">
        <x:v>10</x:v>
      </x:c>
      <x:c r="F114" t="n">
        <x:v>10</x:v>
      </x:c>
      <x:c r="G114" t="n">
        <x:v>1</x:v>
      </x:c>
    </x:row>
    <x:row r="115">
      <x:c r="A115" t="n">
        <x:v>114</x:v>
      </x:c>
      <x:c r="B115" t="n">
        <x:v>69</x:v>
      </x:c>
      <x:c r="C115" t="n">
        <x:v>0</x:v>
      </x:c>
      <x:c r="D115" t="n">
        <x:v>0</x:v>
      </x:c>
      <x:c r="E115" t="n">
        <x:v>39</x:v>
      </x:c>
      <x:c r="F115" t="n">
        <x:v>16</x:v>
      </x:c>
      <x:c r="G115" t="n">
        <x:v>0</x:v>
      </x:c>
    </x:row>
    <x:row r="116">
      <x:c r="A116" t="n">
        <x:v>115</x:v>
      </x:c>
      <x:c r="B116" t="n">
        <x:v>39</x:v>
      </x:c>
      <x:c r="C116" t="n">
        <x:v>0</x:v>
      </x:c>
      <x:c r="D116" t="n">
        <x:v>0</x:v>
      </x:c>
      <x:c r="E116" t="n">
        <x:v>51</x:v>
      </x:c>
      <x:c r="F116" t="n">
        <x:v>11</x:v>
      </x:c>
      <x:c r="G116" t="n">
        <x:v>0</x:v>
      </x:c>
    </x:row>
    <x:row r="117">
      <x:c r="A117" t="n">
        <x:v>116</x:v>
      </x:c>
      <x:c r="B117" t="n">
        <x:v>15</x:v>
      </x:c>
      <x:c r="C117" t="n">
        <x:v>1</x:v>
      </x:c>
      <x:c r="D117" t="n">
        <x:v>0</x:v>
      </x:c>
      <x:c r="E117" t="n">
        <x:v>1</x:v>
      </x:c>
      <x:c r="F117" t="n">
        <x:v>4</x:v>
      </x:c>
      <x:c r="G117" t="n">
        <x:v>0</x:v>
      </x:c>
    </x:row>
    <x:row r="118">
      <x:c r="A118" t="n">
        <x:v>117</x:v>
      </x:c>
      <x:c r="B118" t="n">
        <x:v>24</x:v>
      </x:c>
      <x:c r="C118" t="n">
        <x:v>1</x:v>
      </x:c>
      <x:c r="D118" t="n">
        <x:v>0</x:v>
      </x:c>
      <x:c r="E118" t="n">
        <x:v>85</x:v>
      </x:c>
      <x:c r="F118" t="n">
        <x:v>13</x:v>
      </x:c>
      <x:c r="G118" t="n">
        <x:v>1</x:v>
      </x:c>
    </x:row>
    <x:row r="119">
      <x:c r="A119" t="n">
        <x:v>118</x:v>
      </x:c>
      <x:c r="B119" t="n">
        <x:v>38</x:v>
      </x:c>
      <x:c r="C119" t="n">
        <x:v>1</x:v>
      </x:c>
      <x:c r="D119" t="n">
        <x:v>1</x:v>
      </x:c>
      <x:c r="E119" t="n">
        <x:v>65</x:v>
      </x:c>
      <x:c r="F119" t="n">
        <x:v>16</x:v>
      </x:c>
      <x:c r="G119" t="n">
        <x:v>0</x:v>
      </x:c>
    </x:row>
    <x:row r="120">
      <x:c r="A120" t="n">
        <x:v>119</x:v>
      </x:c>
      <x:c r="B120" t="n">
        <x:v>75</x:v>
      </x:c>
      <x:c r="C120" t="n">
        <x:v>1</x:v>
      </x:c>
      <x:c r="D120" t="n">
        <x:v>1</x:v>
      </x:c>
      <x:c r="E120" t="n">
        <x:v>51</x:v>
      </x:c>
      <x:c r="F120" t="n">
        <x:v>20</x:v>
      </x:c>
      <x:c r="G120" t="n">
        <x:v>0</x:v>
      </x:c>
    </x:row>
    <x:row r="121">
      <x:c r="A121" t="n">
        <x:v>120</x:v>
      </x:c>
      <x:c r="B121" t="n">
        <x:v>70</x:v>
      </x:c>
      <x:c r="C121" t="n">
        <x:v>1</x:v>
      </x:c>
      <x:c r="D121" t="n">
        <x:v>1</x:v>
      </x:c>
      <x:c r="E121" t="n">
        <x:v>23</x:v>
      </x:c>
      <x:c r="F121" t="n">
        <x:v>17</x:v>
      </x:c>
      <x:c r="G121" t="n">
        <x:v>0</x:v>
      </x:c>
    </x:row>
    <x:row r="122">
      <x:c r="A122" t="n">
        <x:v>121</x:v>
      </x:c>
      <x:c r="B122" t="n">
        <x:v>19</x:v>
      </x:c>
      <x:c r="C122" t="n">
        <x:v>1</x:v>
      </x:c>
      <x:c r="D122" t="n">
        <x:v>1</x:v>
      </x:c>
      <x:c r="E122" t="n">
        <x:v>54</x:v>
      </x:c>
      <x:c r="F122" t="n">
        <x:v>2</x:v>
      </x:c>
      <x:c r="G122" t="n">
        <x:v>1</x:v>
      </x:c>
    </x:row>
    <x:row r="123">
      <x:c r="A123" t="n">
        <x:v>122</x:v>
      </x:c>
      <x:c r="B123" t="n">
        <x:v>40</x:v>
      </x:c>
      <x:c r="C123" t="n">
        <x:v>1</x:v>
      </x:c>
      <x:c r="D123" t="n">
        <x:v>1</x:v>
      </x:c>
      <x:c r="E123" t="n">
        <x:v>54</x:v>
      </x:c>
      <x:c r="F123" t="n">
        <x:v>20</x:v>
      </x:c>
      <x:c r="G123" t="n">
        <x:v>1</x:v>
      </x:c>
    </x:row>
    <x:row r="124">
      <x:c r="A124" t="n">
        <x:v>123</x:v>
      </x:c>
      <x:c r="B124" t="n">
        <x:v>22</x:v>
      </x:c>
      <x:c r="C124" t="n">
        <x:v>1</x:v>
      </x:c>
      <x:c r="D124" t="n">
        <x:v>0</x:v>
      </x:c>
      <x:c r="E124" t="n">
        <x:v>25</x:v>
      </x:c>
      <x:c r="F124" t="n">
        <x:v>7</x:v>
      </x:c>
      <x:c r="G124" t="n">
        <x:v>0</x:v>
      </x:c>
    </x:row>
    <x:row r="125">
      <x:c r="A125" t="n">
        <x:v>124</x:v>
      </x:c>
      <x:c r="B125" t="n">
        <x:v>13</x:v>
      </x:c>
      <x:c r="C125" t="n">
        <x:v>0</x:v>
      </x:c>
      <x:c r="D125" t="n">
        <x:v>0</x:v>
      </x:c>
      <x:c r="E125" t="n">
        <x:v>53</x:v>
      </x:c>
      <x:c r="F125" t="n">
        <x:v>3</x:v>
      </x:c>
      <x:c r="G125" t="n">
        <x:v>0</x:v>
      </x:c>
    </x:row>
    <x:row r="126">
      <x:c r="A126" t="n">
        <x:v>125</x:v>
      </x:c>
      <x:c r="B126" t="n">
        <x:v>43</x:v>
      </x:c>
      <x:c r="C126" t="n">
        <x:v>1</x:v>
      </x:c>
      <x:c r="D126" t="n">
        <x:v>1</x:v>
      </x:c>
      <x:c r="E126" t="n">
        <x:v>54</x:v>
      </x:c>
      <x:c r="F126" t="n">
        <x:v>18</x:v>
      </x:c>
      <x:c r="G126" t="n">
        <x:v>1</x:v>
      </x:c>
    </x:row>
    <x:row r="127">
      <x:c r="A127" t="n">
        <x:v>126</x:v>
      </x:c>
      <x:c r="B127" t="n">
        <x:v>4</x:v>
      </x:c>
      <x:c r="C127" t="n">
        <x:v>1</x:v>
      </x:c>
      <x:c r="D127" t="n">
        <x:v>1</x:v>
      </x:c>
      <x:c r="E127" t="n">
        <x:v>33</x:v>
      </x:c>
      <x:c r="F127" t="n">
        <x:v>17</x:v>
      </x:c>
      <x:c r="G127" t="n">
        <x:v>0</x:v>
      </x:c>
    </x:row>
    <x:row r="128">
      <x:c r="A128" t="n">
        <x:v>127</x:v>
      </x:c>
      <x:c r="B128" t="n">
        <x:v>19</x:v>
      </x:c>
      <x:c r="C128" t="n">
        <x:v>0</x:v>
      </x:c>
      <x:c r="D128" t="n">
        <x:v>0</x:v>
      </x:c>
      <x:c r="E128" t="n">
        <x:v>79</x:v>
      </x:c>
      <x:c r="F128" t="n">
        <x:v>10</x:v>
      </x:c>
      <x:c r="G128" t="n">
        <x:v>1</x:v>
      </x:c>
    </x:row>
    <x:row r="129">
      <x:c r="A129" t="n">
        <x:v>128</x:v>
      </x:c>
      <x:c r="B129" t="n">
        <x:v>48</x:v>
      </x:c>
      <x:c r="C129" t="n">
        <x:v>1</x:v>
      </x:c>
      <x:c r="D129" t="n">
        <x:v>1</x:v>
      </x:c>
      <x:c r="E129" t="n">
        <x:v>85</x:v>
      </x:c>
      <x:c r="F129" t="n">
        <x:v>20</x:v>
      </x:c>
      <x:c r="G129" t="n">
        <x:v>1</x:v>
      </x:c>
    </x:row>
    <x:row r="130">
      <x:c r="A130" t="n">
        <x:v>129</x:v>
      </x:c>
      <x:c r="B130" t="n">
        <x:v>6</x:v>
      </x:c>
      <x:c r="C130" t="n">
        <x:v>1</x:v>
      </x:c>
      <x:c r="D130" t="n">
        <x:v>0</x:v>
      </x:c>
      <x:c r="E130" t="n">
        <x:v>36</x:v>
      </x:c>
      <x:c r="F130" t="n">
        <x:v>3</x:v>
      </x:c>
      <x:c r="G130" t="n">
        <x:v>1</x:v>
      </x:c>
    </x:row>
    <x:row r="131">
      <x:c r="A131" t="n">
        <x:v>130</x:v>
      </x:c>
      <x:c r="B131" t="n">
        <x:v>9</x:v>
      </x:c>
      <x:c r="C131" t="n">
        <x:v>1</x:v>
      </x:c>
      <x:c r="D131" t="n">
        <x:v>1</x:v>
      </x:c>
      <x:c r="E131" t="n">
        <x:v>3</x:v>
      </x:c>
      <x:c r="F131" t="n">
        <x:v>11</x:v>
      </x:c>
      <x:c r="G131" t="n">
        <x:v>0</x:v>
      </x:c>
    </x:row>
    <x:row r="132">
      <x:c r="A132" t="n">
        <x:v>131</x:v>
      </x:c>
      <x:c r="B132" t="n">
        <x:v>5</x:v>
      </x:c>
      <x:c r="C132" t="n">
        <x:v>1</x:v>
      </x:c>
      <x:c r="D132" t="n">
        <x:v>1</x:v>
      </x:c>
      <x:c r="E132" t="n">
        <x:v>31</x:v>
      </x:c>
      <x:c r="F132" t="n">
        <x:v>4</x:v>
      </x:c>
      <x:c r="G132" t="n">
        <x:v>1</x:v>
      </x:c>
    </x:row>
    <x:row r="133">
      <x:c r="A133" t="n">
        <x:v>132</x:v>
      </x:c>
      <x:c r="B133" t="n">
        <x:v>48</x:v>
      </x:c>
      <x:c r="C133" t="n">
        <x:v>1</x:v>
      </x:c>
      <x:c r="D133" t="n">
        <x:v>1</x:v>
      </x:c>
      <x:c r="E133" t="n">
        <x:v>23</x:v>
      </x:c>
      <x:c r="F133" t="n">
        <x:v>20</x:v>
      </x:c>
      <x:c r="G133" t="n">
        <x:v>1</x:v>
      </x:c>
    </x:row>
    <x:row r="134">
      <x:c r="A134" t="n">
        <x:v>133</x:v>
      </x:c>
      <x:c r="B134" t="n">
        <x:v>21</x:v>
      </x:c>
      <x:c r="C134" t="n">
        <x:v>0</x:v>
      </x:c>
      <x:c r="D134" t="n">
        <x:v>0</x:v>
      </x:c>
      <x:c r="E134" t="n">
        <x:v>10</x:v>
      </x:c>
      <x:c r="F134" t="n">
        <x:v>8</x:v>
      </x:c>
      <x:c r="G134" t="n">
        <x:v>0</x:v>
      </x:c>
    </x:row>
    <x:row r="135">
      <x:c r="A135" t="n">
        <x:v>134</x:v>
      </x:c>
      <x:c r="B135" t="n">
        <x:v>60</x:v>
      </x:c>
      <x:c r="C135" t="n">
        <x:v>0</x:v>
      </x:c>
      <x:c r="D135" t="n">
        <x:v>0</x:v>
      </x:c>
      <x:c r="E135" t="n">
        <x:v>52</x:v>
      </x:c>
      <x:c r="F135" t="n">
        <x:v>5</x:v>
      </x:c>
      <x:c r="G135" t="n">
        <x:v>0</x:v>
      </x:c>
    </x:row>
    <x:row r="136">
      <x:c r="A136" t="n">
        <x:v>135</x:v>
      </x:c>
      <x:c r="B136" t="n">
        <x:v>30</x:v>
      </x:c>
      <x:c r="C136" t="n">
        <x:v>1</x:v>
      </x:c>
      <x:c r="D136" t="n">
        <x:v>0</x:v>
      </x:c>
      <x:c r="E136" t="n">
        <x:v>31</x:v>
      </x:c>
      <x:c r="F136" t="n">
        <x:v>14</x:v>
      </x:c>
      <x:c r="G136" t="n">
        <x:v>0</x:v>
      </x:c>
    </x:row>
    <x:row r="137">
      <x:c r="A137" t="n">
        <x:v>136</x:v>
      </x:c>
      <x:c r="B137" t="n">
        <x:v>70</x:v>
      </x:c>
      <x:c r="C137" t="n">
        <x:v>1</x:v>
      </x:c>
      <x:c r="D137" t="n">
        <x:v>0</x:v>
      </x:c>
      <x:c r="E137" t="n">
        <x:v>35</x:v>
      </x:c>
      <x:c r="F137" t="n">
        <x:v>1</x:v>
      </x:c>
      <x:c r="G137" t="n">
        <x:v>1</x:v>
      </x:c>
    </x:row>
    <x:row r="138">
      <x:c r="A138" t="n">
        <x:v>137</x:v>
      </x:c>
      <x:c r="B138" t="n">
        <x:v>33</x:v>
      </x:c>
      <x:c r="C138" t="n">
        <x:v>1</x:v>
      </x:c>
      <x:c r="D138" t="n">
        <x:v>1</x:v>
      </x:c>
      <x:c r="E138" t="n">
        <x:v>85</x:v>
      </x:c>
      <x:c r="F138" t="n">
        <x:v>13</x:v>
      </x:c>
      <x:c r="G138" t="n">
        <x:v>1</x:v>
      </x:c>
    </x:row>
    <x:row r="139">
      <x:c r="A139" t="n">
        <x:v>138</x:v>
      </x:c>
      <x:c r="B139" t="n">
        <x:v>51</x:v>
      </x:c>
      <x:c r="C139" t="n">
        <x:v>0</x:v>
      </x:c>
      <x:c r="D139" t="n">
        <x:v>0</x:v>
      </x:c>
      <x:c r="E139" t="n">
        <x:v>75</x:v>
      </x:c>
      <x:c r="F139" t="n">
        <x:v>15</x:v>
      </x:c>
      <x:c r="G139" t="n">
        <x:v>1</x:v>
      </x:c>
    </x:row>
    <x:row r="140">
      <x:c r="A140" t="n">
        <x:v>139</x:v>
      </x:c>
      <x:c r="B140" t="n">
        <x:v>61</x:v>
      </x:c>
      <x:c r="C140" t="n">
        <x:v>1</x:v>
      </x:c>
      <x:c r="D140" t="n">
        <x:v>1</x:v>
      </x:c>
      <x:c r="E140" t="n">
        <x:v>88</x:v>
      </x:c>
      <x:c r="F140" t="n">
        <x:v>17</x:v>
      </x:c>
      <x:c r="G140" t="n">
        <x:v>1</x:v>
      </x:c>
    </x:row>
    <x:row r="141">
      <x:c r="A141" t="n">
        <x:v>140</x:v>
      </x:c>
      <x:c r="B141" t="n">
        <x:v>12</x:v>
      </x:c>
      <x:c r="C141" t="n">
        <x:v>1</x:v>
      </x:c>
      <x:c r="D141" t="n">
        <x:v>1</x:v>
      </x:c>
      <x:c r="E141" t="n">
        <x:v>11</x:v>
      </x:c>
      <x:c r="F141" t="n">
        <x:v>6</x:v>
      </x:c>
      <x:c r="G141" t="n">
        <x:v>1</x:v>
      </x:c>
    </x:row>
    <x:row r="142">
      <x:c r="A142" t="n">
        <x:v>141</x:v>
      </x:c>
      <x:c r="B142" t="n">
        <x:v>57</x:v>
      </x:c>
      <x:c r="C142" t="n">
        <x:v>1</x:v>
      </x:c>
      <x:c r="D142" t="n">
        <x:v>0</x:v>
      </x:c>
      <x:c r="E142" t="n">
        <x:v>76</x:v>
      </x:c>
      <x:c r="F142" t="n">
        <x:v>7</x:v>
      </x:c>
      <x:c r="G142" t="n">
        <x:v>0</x:v>
      </x:c>
    </x:row>
    <x:row r="143">
      <x:c r="A143" t="n">
        <x:v>142</x:v>
      </x:c>
      <x:c r="B143" t="n">
        <x:v>34</x:v>
      </x:c>
      <x:c r="C143" t="n">
        <x:v>1</x:v>
      </x:c>
      <x:c r="D143" t="n">
        <x:v>1</x:v>
      </x:c>
      <x:c r="E143" t="n">
        <x:v>42</x:v>
      </x:c>
      <x:c r="F143" t="n">
        <x:v>7</x:v>
      </x:c>
      <x:c r="G143" t="n">
        <x:v>0</x:v>
      </x:c>
    </x:row>
    <x:row r="144">
      <x:c r="A144" t="n">
        <x:v>143</x:v>
      </x:c>
      <x:c r="B144" t="n">
        <x:v>31</x:v>
      </x:c>
      <x:c r="C144" t="n">
        <x:v>1</x:v>
      </x:c>
      <x:c r="D144" t="n">
        <x:v>1</x:v>
      </x:c>
      <x:c r="E144" t="n">
        <x:v>72</x:v>
      </x:c>
      <x:c r="F144" t="n">
        <x:v>14</x:v>
      </x:c>
      <x:c r="G144" t="n">
        <x:v>1</x:v>
      </x:c>
    </x:row>
    <x:row r="145">
      <x:c r="A145" t="n">
        <x:v>144</x:v>
      </x:c>
      <x:c r="B145" t="n">
        <x:v>50</x:v>
      </x:c>
      <x:c r="C145" t="n">
        <x:v>1</x:v>
      </x:c>
      <x:c r="D145" t="n">
        <x:v>0</x:v>
      </x:c>
      <x:c r="E145" t="n">
        <x:v>39</x:v>
      </x:c>
      <x:c r="F145" t="n">
        <x:v>5</x:v>
      </x:c>
      <x:c r="G145" t="n">
        <x:v>1</x:v>
      </x:c>
    </x:row>
    <x:row r="146">
      <x:c r="A146" t="n">
        <x:v>145</x:v>
      </x:c>
      <x:c r="B146" t="n">
        <x:v>9</x:v>
      </x:c>
      <x:c r="C146" t="n">
        <x:v>1</x:v>
      </x:c>
      <x:c r="D146" t="n">
        <x:v>1</x:v>
      </x:c>
      <x:c r="E146" t="n">
        <x:v>29</x:v>
      </x:c>
      <x:c r="F146" t="n">
        <x:v>7</x:v>
      </x:c>
      <x:c r="G146" t="n">
        <x:v>1</x:v>
      </x:c>
    </x:row>
    <x:row r="147">
      <x:c r="A147" t="n">
        <x:v>146</x:v>
      </x:c>
      <x:c r="B147" t="n">
        <x:v>15</x:v>
      </x:c>
      <x:c r="C147" t="n">
        <x:v>1</x:v>
      </x:c>
      <x:c r="D147" t="n">
        <x:v>1</x:v>
      </x:c>
      <x:c r="E147" t="n">
        <x:v>57</x:v>
      </x:c>
      <x:c r="F147" t="n">
        <x:v>1</x:v>
      </x:c>
      <x:c r="G147" t="n">
        <x:v>1</x:v>
      </x:c>
    </x:row>
    <x:row r="148">
      <x:c r="A148" t="n">
        <x:v>147</x:v>
      </x:c>
      <x:c r="B148" t="n">
        <x:v>18</x:v>
      </x:c>
      <x:c r="C148" t="n">
        <x:v>1</x:v>
      </x:c>
      <x:c r="D148" t="n">
        <x:v>1</x:v>
      </x:c>
      <x:c r="E148" t="n">
        <x:v>40</x:v>
      </x:c>
      <x:c r="F148" t="n">
        <x:v>3</x:v>
      </x:c>
      <x:c r="G148" t="n">
        <x:v>1</x:v>
      </x:c>
    </x:row>
    <x:row r="149">
      <x:c r="A149" t="n">
        <x:v>148</x:v>
      </x:c>
      <x:c r="B149" t="n">
        <x:v>12</x:v>
      </x:c>
      <x:c r="C149" t="n">
        <x:v>1</x:v>
      </x:c>
      <x:c r="D149" t="n">
        <x:v>1</x:v>
      </x:c>
      <x:c r="E149" t="n">
        <x:v>28</x:v>
      </x:c>
      <x:c r="F149" t="n">
        <x:v>17</x:v>
      </x:c>
      <x:c r="G149" t="n">
        <x:v>0</x:v>
      </x:c>
    </x:row>
    <x:row r="150">
      <x:c r="A150" t="n">
        <x:v>149</x:v>
      </x:c>
      <x:c r="B150" t="n">
        <x:v>15</x:v>
      </x:c>
      <x:c r="C150" t="n">
        <x:v>1</x:v>
      </x:c>
      <x:c r="D150" t="n">
        <x:v>1</x:v>
      </x:c>
      <x:c r="E150" t="n">
        <x:v>51</x:v>
      </x:c>
      <x:c r="F150" t="n">
        <x:v>0</x:v>
      </x:c>
      <x:c r="G150" t="n">
        <x:v>1</x:v>
      </x:c>
    </x:row>
    <x:row r="151">
      <x:c r="A151" t="n">
        <x:v>150</x:v>
      </x:c>
      <x:c r="B151" t="n">
        <x:v>33</x:v>
      </x:c>
      <x:c r="C151" t="n">
        <x:v>0</x:v>
      </x:c>
      <x:c r="D151" t="n">
        <x:v>0</x:v>
      </x:c>
      <x:c r="E151" t="n">
        <x:v>76</x:v>
      </x:c>
      <x:c r="F151" t="n">
        <x:v>14</x:v>
      </x:c>
      <x:c r="G151" t="n">
        <x:v>0</x:v>
      </x:c>
    </x:row>
    <x:row r="152">
      <x:c r="A152" t="n">
        <x:v>151</x:v>
      </x:c>
      <x:c r="B152" t="n">
        <x:v>29</x:v>
      </x:c>
      <x:c r="C152" t="n">
        <x:v>1</x:v>
      </x:c>
      <x:c r="D152" t="n">
        <x:v>1</x:v>
      </x:c>
      <x:c r="E152" t="n">
        <x:v>47</x:v>
      </x:c>
      <x:c r="F152" t="n">
        <x:v>4</x:v>
      </x:c>
      <x:c r="G152" t="n">
        <x:v>1</x:v>
      </x:c>
    </x:row>
    <x:row r="153">
      <x:c r="A153" t="n">
        <x:v>152</x:v>
      </x:c>
      <x:c r="B153" t="n">
        <x:v>9</x:v>
      </x:c>
      <x:c r="C153" t="n">
        <x:v>1</x:v>
      </x:c>
      <x:c r="D153" t="n">
        <x:v>0</x:v>
      </x:c>
      <x:c r="E153" t="n">
        <x:v>87</x:v>
      </x:c>
      <x:c r="F153" t="n">
        <x:v>9</x:v>
      </x:c>
      <x:c r="G153" t="n">
        <x:v>1</x:v>
      </x:c>
    </x:row>
    <x:row r="154">
      <x:c r="A154" t="n">
        <x:v>153</x:v>
      </x:c>
      <x:c r="B154" t="n">
        <x:v>36</x:v>
      </x:c>
      <x:c r="C154" t="n">
        <x:v>1</x:v>
      </x:c>
      <x:c r="D154" t="n">
        <x:v>1</x:v>
      </x:c>
      <x:c r="E154" t="n">
        <x:v>10</x:v>
      </x:c>
      <x:c r="F154" t="n">
        <x:v>8</x:v>
      </x:c>
      <x:c r="G154" t="n">
        <x:v>1</x:v>
      </x:c>
    </x:row>
    <x:row r="155">
      <x:c r="A155" t="n">
        <x:v>154</x:v>
      </x:c>
      <x:c r="B155" t="n">
        <x:v>3</x:v>
      </x:c>
      <x:c r="C155" t="n">
        <x:v>0</x:v>
      </x:c>
      <x:c r="D155" t="n">
        <x:v>0</x:v>
      </x:c>
      <x:c r="E155" t="n">
        <x:v>34</x:v>
      </x:c>
      <x:c r="F155" t="n">
        <x:v>12</x:v>
      </x:c>
      <x:c r="G155" t="n">
        <x:v>1</x:v>
      </x:c>
    </x:row>
    <x:row r="156">
      <x:c r="A156" t="n">
        <x:v>155</x:v>
      </x:c>
      <x:c r="B156" t="n">
        <x:v>29</x:v>
      </x:c>
      <x:c r="C156" t="n">
        <x:v>1</x:v>
      </x:c>
      <x:c r="D156" t="n">
        <x:v>1</x:v>
      </x:c>
      <x:c r="E156" t="n">
        <x:v>61</x:v>
      </x:c>
      <x:c r="F156" t="n">
        <x:v>18</x:v>
      </x:c>
      <x:c r="G156" t="n">
        <x:v>0</x:v>
      </x:c>
    </x:row>
    <x:row r="157">
      <x:c r="A157" t="n">
        <x:v>156</x:v>
      </x:c>
      <x:c r="B157" t="n">
        <x:v>72</x:v>
      </x:c>
      <x:c r="C157" t="n">
        <x:v>0</x:v>
      </x:c>
      <x:c r="D157" t="n">
        <x:v>0</x:v>
      </x:c>
      <x:c r="E157" t="n">
        <x:v>79</x:v>
      </x:c>
      <x:c r="F157" t="n">
        <x:v>12</x:v>
      </x:c>
      <x:c r="G157" t="n">
        <x:v>0</x:v>
      </x:c>
    </x:row>
    <x:row r="158">
      <x:c r="A158" t="n">
        <x:v>157</x:v>
      </x:c>
      <x:c r="B158" t="n">
        <x:v>35</x:v>
      </x:c>
      <x:c r="C158" t="n">
        <x:v>0</x:v>
      </x:c>
      <x:c r="D158" t="n">
        <x:v>0</x:v>
      </x:c>
      <x:c r="E158" t="n">
        <x:v>3</x:v>
      </x:c>
      <x:c r="F158" t="n">
        <x:v>1</x:v>
      </x:c>
      <x:c r="G158" t="n">
        <x:v>0</x:v>
      </x:c>
    </x:row>
    <x:row r="159">
      <x:c r="A159" t="n">
        <x:v>158</x:v>
      </x:c>
      <x:c r="B159" t="n">
        <x:v>51</x:v>
      </x:c>
      <x:c r="C159" t="n">
        <x:v>1</x:v>
      </x:c>
      <x:c r="D159" t="n">
        <x:v>0</x:v>
      </x:c>
      <x:c r="E159" t="n">
        <x:v>73</x:v>
      </x:c>
      <x:c r="F159" t="n">
        <x:v>15</x:v>
      </x:c>
      <x:c r="G159" t="n">
        <x:v>0</x:v>
      </x:c>
    </x:row>
    <x:row r="160">
      <x:c r="A160" t="n">
        <x:v>159</x:v>
      </x:c>
      <x:c r="B160" t="n">
        <x:v>46</x:v>
      </x:c>
      <x:c r="C160" t="n">
        <x:v>1</x:v>
      </x:c>
      <x:c r="D160" t="n">
        <x:v>1</x:v>
      </x:c>
      <x:c r="E160" t="n">
        <x:v>65</x:v>
      </x:c>
      <x:c r="F160" t="n">
        <x:v>6</x:v>
      </x:c>
      <x:c r="G160" t="n">
        <x:v>0</x:v>
      </x:c>
    </x:row>
    <x:row r="161">
      <x:c r="A161" t="n">
        <x:v>160</x:v>
      </x:c>
      <x:c r="B161" t="n">
        <x:v>65</x:v>
      </x:c>
      <x:c r="C161" t="n">
        <x:v>1</x:v>
      </x:c>
      <x:c r="D161" t="n">
        <x:v>1</x:v>
      </x:c>
      <x:c r="E161" t="n">
        <x:v>58</x:v>
      </x:c>
      <x:c r="F161" t="n">
        <x:v>1</x:v>
      </x:c>
      <x:c r="G161" t="n">
        <x:v>0</x:v>
      </x:c>
    </x:row>
    <x:row r="162">
      <x:c r="A162" t="n">
        <x:v>161</x:v>
      </x:c>
      <x:c r="B162" t="n">
        <x:v>57</x:v>
      </x:c>
      <x:c r="C162" t="n">
        <x:v>1</x:v>
      </x:c>
      <x:c r="D162" t="n">
        <x:v>1</x:v>
      </x:c>
      <x:c r="E162" t="n">
        <x:v>83</x:v>
      </x:c>
      <x:c r="F162" t="n">
        <x:v>9</x:v>
      </x:c>
      <x:c r="G162" t="n">
        <x:v>0</x:v>
      </x:c>
    </x:row>
    <x:row r="163">
      <x:c r="A163" t="n">
        <x:v>162</x:v>
      </x:c>
      <x:c r="B163" t="n">
        <x:v>25</x:v>
      </x:c>
      <x:c r="C163" t="n">
        <x:v>1</x:v>
      </x:c>
      <x:c r="D163" t="n">
        <x:v>0</x:v>
      </x:c>
      <x:c r="E163" t="n">
        <x:v>62</x:v>
      </x:c>
      <x:c r="F163" t="n">
        <x:v>13</x:v>
      </x:c>
      <x:c r="G163" t="n">
        <x:v>1</x:v>
      </x:c>
    </x:row>
    <x:row r="164">
      <x:c r="A164" t="n">
        <x:v>163</x:v>
      </x:c>
      <x:c r="B164" t="n">
        <x:v>55</x:v>
      </x:c>
      <x:c r="C164" t="n">
        <x:v>1</x:v>
      </x:c>
      <x:c r="D164" t="n">
        <x:v>1</x:v>
      </x:c>
      <x:c r="E164" t="n">
        <x:v>26</x:v>
      </x:c>
      <x:c r="F164" t="n">
        <x:v>20</x:v>
      </x:c>
      <x:c r="G164" t="n">
        <x:v>0</x:v>
      </x:c>
    </x:row>
    <x:row r="165">
      <x:c r="A165" t="n">
        <x:v>164</x:v>
      </x:c>
      <x:c r="B165" t="n">
        <x:v>46</x:v>
      </x:c>
      <x:c r="C165" t="n">
        <x:v>1</x:v>
      </x:c>
      <x:c r="D165" t="n">
        <x:v>1</x:v>
      </x:c>
      <x:c r="E165" t="n">
        <x:v>54</x:v>
      </x:c>
      <x:c r="F165" t="n">
        <x:v>5</x:v>
      </x:c>
      <x:c r="G165" t="n">
        <x:v>1</x:v>
      </x:c>
    </x:row>
    <x:row r="166">
      <x:c r="A166" t="n">
        <x:v>165</x:v>
      </x:c>
      <x:c r="B166" t="n">
        <x:v>38</x:v>
      </x:c>
      <x:c r="C166" t="n">
        <x:v>1</x:v>
      </x:c>
      <x:c r="D166" t="n">
        <x:v>1</x:v>
      </x:c>
      <x:c r="E166" t="n">
        <x:v>25</x:v>
      </x:c>
      <x:c r="F166" t="n">
        <x:v>11</x:v>
      </x:c>
      <x:c r="G166" t="n">
        <x:v>0</x:v>
      </x:c>
    </x:row>
    <x:row r="167">
      <x:c r="A167" t="n">
        <x:v>166</x:v>
      </x:c>
      <x:c r="B167" t="n">
        <x:v>17</x:v>
      </x:c>
      <x:c r="C167" t="n">
        <x:v>1</x:v>
      </x:c>
      <x:c r="D167" t="n">
        <x:v>1</x:v>
      </x:c>
      <x:c r="E167" t="n">
        <x:v>2</x:v>
      </x:c>
      <x:c r="F167" t="n">
        <x:v>20</x:v>
      </x:c>
      <x:c r="G167" t="n">
        <x:v>1</x:v>
      </x:c>
    </x:row>
    <x:row r="168">
      <x:c r="A168" t="n">
        <x:v>167</x:v>
      </x:c>
      <x:c r="B168" t="n">
        <x:v>66</x:v>
      </x:c>
      <x:c r="C168" t="n">
        <x:v>1</x:v>
      </x:c>
      <x:c r="D168" t="n">
        <x:v>1</x:v>
      </x:c>
      <x:c r="E168" t="n">
        <x:v>54</x:v>
      </x:c>
      <x:c r="F168" t="n">
        <x:v>20</x:v>
      </x:c>
      <x:c r="G168" t="n">
        <x:v>0</x:v>
      </x:c>
    </x:row>
    <x:row r="169">
      <x:c r="A169" t="n">
        <x:v>168</x:v>
      </x:c>
      <x:c r="B169" t="n">
        <x:v>12</x:v>
      </x:c>
      <x:c r="C169" t="n">
        <x:v>1</x:v>
      </x:c>
      <x:c r="D169" t="n">
        <x:v>1</x:v>
      </x:c>
      <x:c r="E169" t="n">
        <x:v>58</x:v>
      </x:c>
      <x:c r="F169" t="n">
        <x:v>14</x:v>
      </x:c>
      <x:c r="G169" t="n">
        <x:v>1</x:v>
      </x:c>
    </x:row>
    <x:row r="170">
      <x:c r="A170" t="n">
        <x:v>169</x:v>
      </x:c>
      <x:c r="B170" t="n">
        <x:v>47</x:v>
      </x:c>
      <x:c r="C170" t="n">
        <x:v>1</x:v>
      </x:c>
      <x:c r="D170" t="n">
        <x:v>1</x:v>
      </x:c>
      <x:c r="E170" t="n">
        <x:v>22</x:v>
      </x:c>
      <x:c r="F170" t="n">
        <x:v>11</x:v>
      </x:c>
      <x:c r="G170" t="n">
        <x:v>1</x:v>
      </x:c>
    </x:row>
    <x:row r="171">
      <x:c r="A171" t="n">
        <x:v>170</x:v>
      </x:c>
      <x:c r="B171" t="n">
        <x:v>3</x:v>
      </x:c>
      <x:c r="C171" t="n">
        <x:v>1</x:v>
      </x:c>
      <x:c r="D171" t="n">
        <x:v>1</x:v>
      </x:c>
      <x:c r="E171" t="n">
        <x:v>22</x:v>
      </x:c>
      <x:c r="F171" t="n">
        <x:v>17</x:v>
      </x:c>
      <x:c r="G171" t="n">
        <x:v>1</x:v>
      </x:c>
    </x:row>
    <x:row r="172">
      <x:c r="A172" t="n">
        <x:v>171</x:v>
      </x:c>
      <x:c r="B172" t="n">
        <x:v>3</x:v>
      </x:c>
      <x:c r="C172" t="n">
        <x:v>1</x:v>
      </x:c>
      <x:c r="D172" t="n">
        <x:v>1</x:v>
      </x:c>
      <x:c r="E172" t="n">
        <x:v>90</x:v>
      </x:c>
      <x:c r="F172" t="n">
        <x:v>13</x:v>
      </x:c>
      <x:c r="G172" t="n">
        <x:v>1</x:v>
      </x:c>
    </x:row>
    <x:row r="173">
      <x:c r="A173" t="n">
        <x:v>172</x:v>
      </x:c>
      <x:c r="B173" t="n">
        <x:v>15</x:v>
      </x:c>
      <x:c r="C173" t="n">
        <x:v>1</x:v>
      </x:c>
      <x:c r="D173" t="n">
        <x:v>1</x:v>
      </x:c>
      <x:c r="E173" t="n">
        <x:v>79</x:v>
      </x:c>
      <x:c r="F173" t="n">
        <x:v>17</x:v>
      </x:c>
      <x:c r="G173" t="n">
        <x:v>1</x:v>
      </x:c>
    </x:row>
    <x:row r="174">
      <x:c r="A174" t="n">
        <x:v>173</x:v>
      </x:c>
      <x:c r="B174" t="n">
        <x:v>19</x:v>
      </x:c>
      <x:c r="C174" t="n">
        <x:v>1</x:v>
      </x:c>
      <x:c r="D174" t="n">
        <x:v>1</x:v>
      </x:c>
      <x:c r="E174" t="n">
        <x:v>33</x:v>
      </x:c>
      <x:c r="F174" t="n">
        <x:v>16</x:v>
      </x:c>
      <x:c r="G174" t="n">
        <x:v>1</x:v>
      </x:c>
    </x:row>
    <x:row r="175">
      <x:c r="A175" t="n">
        <x:v>174</x:v>
      </x:c>
      <x:c r="B175" t="n">
        <x:v>75</x:v>
      </x:c>
      <x:c r="C175" t="n">
        <x:v>0</x:v>
      </x:c>
      <x:c r="D175" t="n">
        <x:v>0</x:v>
      </x:c>
      <x:c r="E175" t="n">
        <x:v>27</x:v>
      </x:c>
      <x:c r="F175" t="n">
        <x:v>17</x:v>
      </x:c>
      <x:c r="G175" t="n">
        <x:v>0</x:v>
      </x:c>
    </x:row>
    <x:row r="176">
      <x:c r="A176" t="n">
        <x:v>175</x:v>
      </x:c>
      <x:c r="B176" t="n">
        <x:v>71</x:v>
      </x:c>
      <x:c r="C176" t="n">
        <x:v>0</x:v>
      </x:c>
      <x:c r="D176" t="n">
        <x:v>0</x:v>
      </x:c>
      <x:c r="E176" t="n">
        <x:v>1</x:v>
      </x:c>
      <x:c r="F176" t="n">
        <x:v>17</x:v>
      </x:c>
      <x:c r="G176" t="n">
        <x:v>0</x:v>
      </x:c>
    </x:row>
    <x:row r="177">
      <x:c r="A177" t="n">
        <x:v>176</x:v>
      </x:c>
      <x:c r="B177" t="n">
        <x:v>22</x:v>
      </x:c>
      <x:c r="C177" t="n">
        <x:v>1</x:v>
      </x:c>
      <x:c r="D177" t="n">
        <x:v>1</x:v>
      </x:c>
      <x:c r="E177" t="n">
        <x:v>11</x:v>
      </x:c>
      <x:c r="F177" t="n">
        <x:v>18</x:v>
      </x:c>
      <x:c r="G177" t="n">
        <x:v>1</x:v>
      </x:c>
    </x:row>
    <x:row r="178">
      <x:c r="A178" t="n">
        <x:v>177</x:v>
      </x:c>
      <x:c r="B178" t="n">
        <x:v>49</x:v>
      </x:c>
      <x:c r="C178" t="n">
        <x:v>1</x:v>
      </x:c>
      <x:c r="D178" t="n">
        <x:v>1</x:v>
      </x:c>
      <x:c r="E178" t="n">
        <x:v>21</x:v>
      </x:c>
      <x:c r="F178" t="n">
        <x:v>7</x:v>
      </x:c>
      <x:c r="G178" t="n">
        <x:v>0</x:v>
      </x:c>
    </x:row>
    <x:row r="179">
      <x:c r="A179" t="n">
        <x:v>178</x:v>
      </x:c>
      <x:c r="B179" t="n">
        <x:v>54</x:v>
      </x:c>
      <x:c r="C179" t="n">
        <x:v>1</x:v>
      </x:c>
      <x:c r="D179" t="n">
        <x:v>1</x:v>
      </x:c>
      <x:c r="E179" t="n">
        <x:v>60</x:v>
      </x:c>
      <x:c r="F179" t="n">
        <x:v>12</x:v>
      </x:c>
      <x:c r="G179" t="n">
        <x:v>1</x:v>
      </x:c>
    </x:row>
    <x:row r="180">
      <x:c r="A180" t="n">
        <x:v>179</x:v>
      </x:c>
      <x:c r="B180" t="n">
        <x:v>72</x:v>
      </x:c>
      <x:c r="C180" t="n">
        <x:v>1</x:v>
      </x:c>
      <x:c r="D180" t="n">
        <x:v>1</x:v>
      </x:c>
      <x:c r="E180" t="n">
        <x:v>48</x:v>
      </x:c>
      <x:c r="F180" t="n">
        <x:v>10</x:v>
      </x:c>
      <x:c r="G180" t="n">
        <x:v>1</x:v>
      </x:c>
    </x:row>
    <x:row r="181">
      <x:c r="A181" t="n">
        <x:v>180</x:v>
      </x:c>
      <x:c r="B181" t="n">
        <x:v>8</x:v>
      </x:c>
      <x:c r="C181" t="n">
        <x:v>1</x:v>
      </x:c>
      <x:c r="D181" t="n">
        <x:v>1</x:v>
      </x:c>
      <x:c r="E181" t="n">
        <x:v>59</x:v>
      </x:c>
      <x:c r="F181" t="n">
        <x:v>13</x:v>
      </x:c>
      <x:c r="G181" t="n">
        <x:v>1</x:v>
      </x:c>
    </x:row>
    <x:row r="182">
      <x:c r="A182" t="n">
        <x:v>181</x:v>
      </x:c>
      <x:c r="B182" t="n">
        <x:v>23</x:v>
      </x:c>
      <x:c r="C182" t="n">
        <x:v>1</x:v>
      </x:c>
      <x:c r="D182" t="n">
        <x:v>0</x:v>
      </x:c>
      <x:c r="E182" t="n">
        <x:v>34</x:v>
      </x:c>
      <x:c r="F182" t="n">
        <x:v>2</x:v>
      </x:c>
      <x:c r="G182" t="n">
        <x:v>0</x:v>
      </x:c>
    </x:row>
    <x:row r="183">
      <x:c r="A183" t="n">
        <x:v>182</x:v>
      </x:c>
      <x:c r="B183" t="n">
        <x:v>72</x:v>
      </x:c>
      <x:c r="C183" t="n">
        <x:v>0</x:v>
      </x:c>
      <x:c r="D183" t="n">
        <x:v>0</x:v>
      </x:c>
      <x:c r="E183" t="n">
        <x:v>6</x:v>
      </x:c>
      <x:c r="F183" t="n">
        <x:v>8</x:v>
      </x:c>
      <x:c r="G183" t="n">
        <x:v>0</x:v>
      </x:c>
    </x:row>
    <x:row r="184">
      <x:c r="A184" t="n">
        <x:v>183</x:v>
      </x:c>
      <x:c r="B184" t="n">
        <x:v>64</x:v>
      </x:c>
      <x:c r="C184" t="n">
        <x:v>1</x:v>
      </x:c>
      <x:c r="D184" t="n">
        <x:v>1</x:v>
      </x:c>
      <x:c r="E184" t="n">
        <x:v>17</x:v>
      </x:c>
      <x:c r="F184" t="n">
        <x:v>2</x:v>
      </x:c>
      <x:c r="G184" t="n">
        <x:v>1</x:v>
      </x:c>
    </x:row>
    <x:row r="185">
      <x:c r="A185" t="n">
        <x:v>184</x:v>
      </x:c>
      <x:c r="B185" t="n">
        <x:v>62</x:v>
      </x:c>
      <x:c r="C185" t="n">
        <x:v>1</x:v>
      </x:c>
      <x:c r="D185" t="n">
        <x:v>1</x:v>
      </x:c>
      <x:c r="E185" t="n">
        <x:v>44</x:v>
      </x:c>
      <x:c r="F185" t="n">
        <x:v>2</x:v>
      </x:c>
      <x:c r="G185" t="n">
        <x:v>1</x:v>
      </x:c>
    </x:row>
    <x:row r="186">
      <x:c r="A186" t="n">
        <x:v>185</x:v>
      </x:c>
      <x:c r="B186" t="n">
        <x:v>8</x:v>
      </x:c>
      <x:c r="C186" t="n">
        <x:v>1</x:v>
      </x:c>
      <x:c r="D186" t="n">
        <x:v>1</x:v>
      </x:c>
      <x:c r="E186" t="n">
        <x:v>84</x:v>
      </x:c>
      <x:c r="F186" t="n">
        <x:v>0</x:v>
      </x:c>
      <x:c r="G186" t="n">
        <x:v>1</x:v>
      </x:c>
    </x:row>
    <x:row r="187">
      <x:c r="A187" t="n">
        <x:v>186</x:v>
      </x:c>
      <x:c r="B187" t="n">
        <x:v>30</x:v>
      </x:c>
      <x:c r="C187" t="n">
        <x:v>1</x:v>
      </x:c>
      <x:c r="D187" t="n">
        <x:v>0</x:v>
      </x:c>
      <x:c r="E187" t="n">
        <x:v>29</x:v>
      </x:c>
      <x:c r="F187" t="n">
        <x:v>14</x:v>
      </x:c>
      <x:c r="G187" t="n">
        <x:v>1</x:v>
      </x:c>
    </x:row>
    <x:row r="188">
      <x:c r="A188" t="n">
        <x:v>187</x:v>
      </x:c>
      <x:c r="B188" t="n">
        <x:v>45</x:v>
      </x:c>
      <x:c r="C188" t="n">
        <x:v>1</x:v>
      </x:c>
      <x:c r="D188" t="n">
        <x:v>1</x:v>
      </x:c>
      <x:c r="E188" t="n">
        <x:v>65</x:v>
      </x:c>
      <x:c r="F188" t="n">
        <x:v>14</x:v>
      </x:c>
      <x:c r="G188" t="n">
        <x:v>1</x:v>
      </x:c>
    </x:row>
    <x:row r="189">
      <x:c r="A189" t="n">
        <x:v>188</x:v>
      </x:c>
      <x:c r="B189" t="n">
        <x:v>30</x:v>
      </x:c>
      <x:c r="C189" t="n">
        <x:v>1</x:v>
      </x:c>
      <x:c r="D189" t="n">
        <x:v>1</x:v>
      </x:c>
      <x:c r="E189" t="n">
        <x:v>9</x:v>
      </x:c>
      <x:c r="F189" t="n">
        <x:v>15</x:v>
      </x:c>
      <x:c r="G189" t="n">
        <x:v>1</x:v>
      </x:c>
    </x:row>
    <x:row r="190">
      <x:c r="A190" t="n">
        <x:v>189</x:v>
      </x:c>
      <x:c r="B190" t="n">
        <x:v>16</x:v>
      </x:c>
      <x:c r="C190" t="n">
        <x:v>0</x:v>
      </x:c>
      <x:c r="D190" t="n">
        <x:v>0</x:v>
      </x:c>
      <x:c r="E190" t="n">
        <x:v>87</x:v>
      </x:c>
      <x:c r="F190" t="n">
        <x:v>14</x:v>
      </x:c>
      <x:c r="G190" t="n">
        <x:v>1</x:v>
      </x:c>
    </x:row>
    <x:row r="191">
      <x:c r="A191" t="n">
        <x:v>190</x:v>
      </x:c>
      <x:c r="B191" t="n">
        <x:v>22</x:v>
      </x:c>
      <x:c r="C191" t="n">
        <x:v>0</x:v>
      </x:c>
      <x:c r="D191" t="n">
        <x:v>0</x:v>
      </x:c>
      <x:c r="E191" t="n">
        <x:v>28</x:v>
      </x:c>
      <x:c r="F191" t="n">
        <x:v>18</x:v>
      </x:c>
      <x:c r="G191" t="n">
        <x:v>0</x:v>
      </x:c>
    </x:row>
    <x:row r="192">
      <x:c r="A192" t="n">
        <x:v>191</x:v>
      </x:c>
      <x:c r="B192" t="n">
        <x:v>2</x:v>
      </x:c>
      <x:c r="C192" t="n">
        <x:v>1</x:v>
      </x:c>
      <x:c r="D192" t="n">
        <x:v>1</x:v>
      </x:c>
      <x:c r="E192" t="n">
        <x:v>90</x:v>
      </x:c>
      <x:c r="F192" t="n">
        <x:v>13</x:v>
      </x:c>
      <x:c r="G192" t="n">
        <x:v>1</x:v>
      </x:c>
    </x:row>
    <x:row r="193">
      <x:c r="A193" t="n">
        <x:v>192</x:v>
      </x:c>
      <x:c r="B193" t="n">
        <x:v>31</x:v>
      </x:c>
      <x:c r="C193" t="n">
        <x:v>1</x:v>
      </x:c>
      <x:c r="D193" t="n">
        <x:v>1</x:v>
      </x:c>
      <x:c r="E193" t="n">
        <x:v>49</x:v>
      </x:c>
      <x:c r="F193" t="n">
        <x:v>15</x:v>
      </x:c>
      <x:c r="G193" t="n">
        <x:v>1</x:v>
      </x:c>
    </x:row>
    <x:row r="194">
      <x:c r="A194" t="n">
        <x:v>193</x:v>
      </x:c>
      <x:c r="B194" t="n">
        <x:v>5</x:v>
      </x:c>
      <x:c r="C194" t="n">
        <x:v>1</x:v>
      </x:c>
      <x:c r="D194" t="n">
        <x:v>0</x:v>
      </x:c>
      <x:c r="E194" t="n">
        <x:v>79</x:v>
      </x:c>
      <x:c r="F194" t="n">
        <x:v>6</x:v>
      </x:c>
      <x:c r="G194" t="n">
        <x:v>1</x:v>
      </x:c>
    </x:row>
    <x:row r="195">
      <x:c r="A195" t="n">
        <x:v>194</x:v>
      </x:c>
      <x:c r="B195" t="n">
        <x:v>5</x:v>
      </x:c>
      <x:c r="C195" t="n">
        <x:v>0</x:v>
      </x:c>
      <x:c r="D195" t="n">
        <x:v>0</x:v>
      </x:c>
      <x:c r="E195" t="n">
        <x:v>86</x:v>
      </x:c>
      <x:c r="F195" t="n">
        <x:v>17</x:v>
      </x:c>
      <x:c r="G195" t="n">
        <x:v>0</x:v>
      </x:c>
    </x:row>
    <x:row r="196">
      <x:c r="A196" t="n">
        <x:v>195</x:v>
      </x:c>
      <x:c r="B196" t="n">
        <x:v>38</x:v>
      </x:c>
      <x:c r="C196" t="n">
        <x:v>0</x:v>
      </x:c>
      <x:c r="D196" t="n">
        <x:v>0</x:v>
      </x:c>
      <x:c r="E196" t="n">
        <x:v>63</x:v>
      </x:c>
      <x:c r="F196" t="n">
        <x:v>12</x:v>
      </x:c>
      <x:c r="G196" t="n">
        <x:v>1</x:v>
      </x:c>
    </x:row>
    <x:row r="197">
      <x:c r="A197" t="n">
        <x:v>196</x:v>
      </x:c>
      <x:c r="B197" t="n">
        <x:v>17</x:v>
      </x:c>
      <x:c r="C197" t="n">
        <x:v>1</x:v>
      </x:c>
      <x:c r="D197" t="n">
        <x:v>0</x:v>
      </x:c>
      <x:c r="E197" t="n">
        <x:v>70</x:v>
      </x:c>
      <x:c r="F197" t="n">
        <x:v>5</x:v>
      </x:c>
      <x:c r="G197" t="n">
        <x:v>1</x:v>
      </x:c>
    </x:row>
    <x:row r="198">
      <x:c r="A198" t="n">
        <x:v>197</x:v>
      </x:c>
      <x:c r="B198" t="n">
        <x:v>66</x:v>
      </x:c>
      <x:c r="C198" t="n">
        <x:v>1</x:v>
      </x:c>
      <x:c r="D198" t="n">
        <x:v>0</x:v>
      </x:c>
      <x:c r="E198" t="n">
        <x:v>6</x:v>
      </x:c>
      <x:c r="F198" t="n">
        <x:v>20</x:v>
      </x:c>
      <x:c r="G198" t="n">
        <x:v>1</x:v>
      </x:c>
    </x:row>
    <x:row r="199">
      <x:c r="A199" t="n">
        <x:v>198</x:v>
      </x:c>
      <x:c r="B199" t="n">
        <x:v>75</x:v>
      </x:c>
      <x:c r="C199" t="n">
        <x:v>1</x:v>
      </x:c>
      <x:c r="D199" t="n">
        <x:v>1</x:v>
      </x:c>
      <x:c r="E199" t="n">
        <x:v>18</x:v>
      </x:c>
      <x:c r="F199" t="n">
        <x:v>15</x:v>
      </x:c>
      <x:c r="G199" t="n">
        <x:v>0</x:v>
      </x:c>
    </x:row>
    <x:row r="200">
      <x:c r="A200" t="n">
        <x:v>199</x:v>
      </x:c>
      <x:c r="B200" t="n">
        <x:v>56</x:v>
      </x:c>
      <x:c r="C200" t="n">
        <x:v>1</x:v>
      </x:c>
      <x:c r="D200" t="n">
        <x:v>1</x:v>
      </x:c>
      <x:c r="E200" t="n">
        <x:v>69</x:v>
      </x:c>
      <x:c r="F200" t="n">
        <x:v>7</x:v>
      </x:c>
      <x:c r="G200" t="n">
        <x:v>0</x:v>
      </x:c>
    </x:row>
    <x:row r="201">
      <x:c r="A201" t="n">
        <x:v>200</x:v>
      </x:c>
      <x:c r="B201" t="n">
        <x:v>72</x:v>
      </x:c>
      <x:c r="C201" t="n">
        <x:v>0</x:v>
      </x:c>
      <x:c r="D201" t="n">
        <x:v>0</x:v>
      </x:c>
      <x:c r="E201" t="n">
        <x:v>58</x:v>
      </x:c>
      <x:c r="F201" t="n">
        <x:v>6</x:v>
      </x:c>
      <x:c r="G20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7" t="str">
        <x:v>Las imágenes de referencia contienen tarifas manuscritas cuya asociación entre material, medida y precio no se puede leer con seguridad. Los importes quedan en blanco para que el jefe los confirme. No copiar las Tarifas_demo como precios de producción.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>
      <x:c r="A5" s="27" t="str">
        <x:v>Servicio</x:v>
      </x:c>
      <x:c r="B5" s="27" t="str">
        <x:v>Tipo de carpa</x:v>
      </x:c>
      <x:c r="C5" s="27" t="str">
        <x:v>Material</x:v>
      </x:c>
      <x:c r="D5" s="27" t="str">
        <x:v>Largo_m</x:v>
      </x:c>
      <x:c r="E5" s="27" t="str">
        <x:v>Ancho_m</x:v>
      </x:c>
      <x:c r="F5" s="27" t="str">
        <x:v>Altura_m_opcional</x:v>
      </x:c>
      <x:c r="G5" s="27" t="str">
        <x:v>Ventanas</x:v>
      </x:c>
      <x:c r="H5" s="27" t="str">
        <x:v>Puertas</x:v>
      </x:c>
      <x:c r="I5" s="27" t="str">
        <x:v>Precio_aprobado_S/</x:v>
      </x:c>
      <x:c r="J5" s="27" t="str">
        <x:v>Stock_actual</x:v>
      </x:c>
      <x:c r="K5" s="27" t="str">
        <x:v>Consumo_por_m2</x:v>
      </x:c>
      <x:c r="L5" s="27" t="str">
        <x:v>Aprobado_por</x:v>
      </x:c>
      <x:c r="M5" s="27" t="str">
        <x:v>Fecha_aprobacion</x:v>
      </x:c>
      <x:c r="N5" s="27" t="str">
        <x:v>Estado</x:v>
      </x:c>
    </x:row>
    <x:row r="6">
      <x:c r="A6" s="34" t="str">
        <x:v>Carpas</x:v>
      </x:c>
      <x:c r="B6" s="34" t="str">
        <x:v>ABIERTA</x:v>
      </x:c>
      <x:c r="C6" s="34" t="str">
        <x:v>Lino económico</x:v>
      </x:c>
      <x:c r="D6" s="34" t="n">
        <x:v>2</x:v>
      </x:c>
      <x:c r="E6" s="34" t="n">
        <x:v>2</x:v>
      </x:c>
      <x:c r="F6" s="34"/>
      <x:c r="G6" s="34" t="str">
        <x:v>N/A</x:v>
      </x:c>
      <x:c r="H6" s="34" t="str">
        <x:v>N/A</x:v>
      </x:c>
      <x:c r="I6" s="34"/>
      <x:c r="J6" s="34"/>
      <x:c r="K6" s="34"/>
      <x:c r="L6" s="34"/>
      <x:c r="M6" s="34"/>
      <x:c r="N6" s="34" t="str">
        <x:v>PENDIENTE_CONFIRMACION</x:v>
      </x:c>
    </x:row>
    <x:row r="7">
      <x:c r="A7" s="34" t="str">
        <x:v>Carpas</x:v>
      </x:c>
      <x:c r="B7" s="34" t="str">
        <x:v>ABIERTA</x:v>
      </x:c>
      <x:c r="C7" s="34" t="str">
        <x:v>Lino económico</x:v>
      </x:c>
      <x:c r="D7" s="34" t="n">
        <x:v>2.5</x:v>
      </x:c>
      <x:c r="E7" s="34" t="n">
        <x:v>2</x:v>
      </x:c>
      <x:c r="F7" s="34"/>
      <x:c r="G7" s="34" t="str">
        <x:v>N/A</x:v>
      </x:c>
      <x:c r="H7" s="34" t="str">
        <x:v>N/A</x:v>
      </x:c>
      <x:c r="I7" s="34"/>
      <x:c r="J7" s="34"/>
      <x:c r="K7" s="34"/>
      <x:c r="L7" s="34"/>
      <x:c r="M7" s="34"/>
      <x:c r="N7" s="34" t="str">
        <x:v>PENDIENTE_CONFIRMACION</x:v>
      </x:c>
    </x:row>
    <x:row r="8">
      <x:c r="A8" s="34" t="str">
        <x:v>Carpas</x:v>
      </x:c>
      <x:c r="B8" s="34" t="str">
        <x:v>ABIERTA</x:v>
      </x:c>
      <x:c r="C8" s="34" t="str">
        <x:v>Lino económico</x:v>
      </x:c>
      <x:c r="D8" s="34" t="n">
        <x:v>3</x:v>
      </x:c>
      <x:c r="E8" s="34" t="n">
        <x:v>2</x:v>
      </x:c>
      <x:c r="F8" s="34"/>
      <x:c r="G8" s="34" t="str">
        <x:v>N/A</x:v>
      </x:c>
      <x:c r="H8" s="34" t="str">
        <x:v>N/A</x:v>
      </x:c>
      <x:c r="I8" s="34"/>
      <x:c r="J8" s="34"/>
      <x:c r="K8" s="34"/>
      <x:c r="L8" s="34"/>
      <x:c r="M8" s="34"/>
      <x:c r="N8" s="34" t="str">
        <x:v>PENDIENTE_CONFIRMACION</x:v>
      </x:c>
    </x:row>
    <x:row r="9">
      <x:c r="A9" s="34" t="str">
        <x:v>Carpas</x:v>
      </x:c>
      <x:c r="B9" s="34" t="str">
        <x:v>ABIERTA</x:v>
      </x:c>
      <x:c r="C9" s="34" t="str">
        <x:v>Lino económico</x:v>
      </x:c>
      <x:c r="D9" s="34" t="n">
        <x:v>3</x:v>
      </x:c>
      <x:c r="E9" s="34" t="n">
        <x:v>3</x:v>
      </x:c>
      <x:c r="F9" s="34"/>
      <x:c r="G9" s="34" t="str">
        <x:v>N/A</x:v>
      </x:c>
      <x:c r="H9" s="34" t="str">
        <x:v>N/A</x:v>
      </x:c>
      <x:c r="I9" s="34"/>
      <x:c r="J9" s="34"/>
      <x:c r="K9" s="34"/>
      <x:c r="L9" s="34"/>
      <x:c r="M9" s="34"/>
      <x:c r="N9" s="34" t="str">
        <x:v>PENDIENTE_CONFIRMACION</x:v>
      </x:c>
    </x:row>
    <x:row r="10">
      <x:c r="A10" s="34" t="str">
        <x:v>Carpas</x:v>
      </x:c>
      <x:c r="B10" s="34" t="str">
        <x:v>ABIERTA</x:v>
      </x:c>
      <x:c r="C10" s="34" t="str">
        <x:v>Lino económico</x:v>
      </x:c>
      <x:c r="D10" s="34" t="n">
        <x:v>4</x:v>
      </x:c>
      <x:c r="E10" s="34" t="n">
        <x:v>3</x:v>
      </x:c>
      <x:c r="F10" s="34"/>
      <x:c r="G10" s="34" t="str">
        <x:v>N/A</x:v>
      </x:c>
      <x:c r="H10" s="34" t="str">
        <x:v>N/A</x:v>
      </x:c>
      <x:c r="I10" s="34"/>
      <x:c r="J10" s="34"/>
      <x:c r="K10" s="34"/>
      <x:c r="L10" s="34"/>
      <x:c r="M10" s="34"/>
      <x:c r="N10" s="34" t="str">
        <x:v>PENDIENTE_CONFIRMACION</x:v>
      </x:c>
    </x:row>
    <x:row r="11">
      <x:c r="A11" s="34" t="str">
        <x:v>Carpas</x:v>
      </x:c>
      <x:c r="B11" s="34" t="str">
        <x:v>ABIERTA</x:v>
      </x:c>
      <x:c r="C11" s="34" t="str">
        <x:v>Lino económico</x:v>
      </x:c>
      <x:c r="D11" s="34" t="n">
        <x:v>5</x:v>
      </x:c>
      <x:c r="E11" s="34" t="n">
        <x:v>4</x:v>
      </x:c>
      <x:c r="F11" s="34"/>
      <x:c r="G11" s="34" t="str">
        <x:v>N/A</x:v>
      </x:c>
      <x:c r="H11" s="34" t="str">
        <x:v>N/A</x:v>
      </x:c>
      <x:c r="I11" s="34"/>
      <x:c r="J11" s="34"/>
      <x:c r="K11" s="34"/>
      <x:c r="L11" s="34"/>
      <x:c r="M11" s="34"/>
      <x:c r="N11" s="34" t="str">
        <x:v>PENDIENTE_CONFIRMACION</x:v>
      </x:c>
    </x:row>
    <x:row r="12">
      <x:c r="A12" s="34" t="str">
        <x:v>Carpas</x:v>
      </x:c>
      <x:c r="B12" s="34" t="str">
        <x:v>ABIERTA</x:v>
      </x:c>
      <x:c r="C12" s="34" t="str">
        <x:v>Lino económico</x:v>
      </x:c>
      <x:c r="D12" s="34" t="n">
        <x:v>6</x:v>
      </x:c>
      <x:c r="E12" s="34" t="n">
        <x:v>3</x:v>
      </x:c>
      <x:c r="F12" s="34"/>
      <x:c r="G12" s="34" t="str">
        <x:v>N/A</x:v>
      </x:c>
      <x:c r="H12" s="34" t="str">
        <x:v>N/A</x:v>
      </x:c>
      <x:c r="I12" s="34"/>
      <x:c r="J12" s="34"/>
      <x:c r="K12" s="34"/>
      <x:c r="L12" s="34"/>
      <x:c r="M12" s="34"/>
      <x:c r="N12" s="34" t="str">
        <x:v>PENDIENTE_CONFIRMACION</x:v>
      </x:c>
    </x:row>
    <x:row r="13">
      <x:c r="A13" s="34" t="str">
        <x:v>Carpas</x:v>
      </x:c>
      <x:c r="B13" s="34" t="str">
        <x:v>ABIERTA</x:v>
      </x:c>
      <x:c r="C13" s="34" t="str">
        <x:v>Lino económico</x:v>
      </x:c>
      <x:c r="D13" s="34" t="n">
        <x:v>6</x:v>
      </x:c>
      <x:c r="E13" s="34" t="n">
        <x:v>4</x:v>
      </x:c>
      <x:c r="F13" s="34"/>
      <x:c r="G13" s="34" t="str">
        <x:v>N/A</x:v>
      </x:c>
      <x:c r="H13" s="34" t="str">
        <x:v>N/A</x:v>
      </x:c>
      <x:c r="I13" s="34"/>
      <x:c r="J13" s="34"/>
      <x:c r="K13" s="34"/>
      <x:c r="L13" s="34"/>
      <x:c r="M13" s="34"/>
      <x:c r="N13" s="34" t="str">
        <x:v>PENDIENTE_CONFIRMACION</x:v>
      </x:c>
    </x:row>
    <x:row r="14">
      <x:c r="A14" s="34" t="str">
        <x:v>Carpas</x:v>
      </x:c>
      <x:c r="B14" s="34" t="str">
        <x:v>ABIERTA</x:v>
      </x:c>
      <x:c r="C14" s="34" t="str">
        <x:v>Lino económico</x:v>
      </x:c>
      <x:c r="D14" s="34" t="n">
        <x:v>6</x:v>
      </x:c>
      <x:c r="E14" s="34" t="n">
        <x:v>5</x:v>
      </x:c>
      <x:c r="F14" s="34"/>
      <x:c r="G14" s="34" t="str">
        <x:v>N/A</x:v>
      </x:c>
      <x:c r="H14" s="34" t="str">
        <x:v>N/A</x:v>
      </x:c>
      <x:c r="I14" s="34"/>
      <x:c r="J14" s="34"/>
      <x:c r="K14" s="34"/>
      <x:c r="L14" s="34"/>
      <x:c r="M14" s="34"/>
      <x:c r="N14" s="34" t="str">
        <x:v>PENDIENTE_CONFIRMACION</x:v>
      </x:c>
    </x:row>
    <x:row r="15">
      <x:c r="A15" s="34" t="str">
        <x:v>Carpas</x:v>
      </x:c>
      <x:c r="B15" s="34" t="str">
        <x:v>ABIERTA</x:v>
      </x:c>
      <x:c r="C15" s="34" t="str">
        <x:v>Lino económico</x:v>
      </x:c>
      <x:c r="D15" s="34" t="n">
        <x:v>7</x:v>
      </x:c>
      <x:c r="E15" s="34" t="n">
        <x:v>4</x:v>
      </x:c>
      <x:c r="F15" s="34"/>
      <x:c r="G15" s="34" t="str">
        <x:v>N/A</x:v>
      </x:c>
      <x:c r="H15" s="34" t="str">
        <x:v>N/A</x:v>
      </x:c>
      <x:c r="I15" s="34"/>
      <x:c r="J15" s="34"/>
      <x:c r="K15" s="34"/>
      <x:c r="L15" s="34"/>
      <x:c r="M15" s="34"/>
      <x:c r="N15" s="34" t="str">
        <x:v>PENDIENTE_CONFIRMACION</x:v>
      </x:c>
    </x:row>
    <x:row r="16">
      <x:c r="A16" s="34" t="str">
        <x:v>Carpas</x:v>
      </x:c>
      <x:c r="B16" s="34" t="str">
        <x:v>ABIERTA</x:v>
      </x:c>
      <x:c r="C16" s="34" t="str">
        <x:v>Lino económico</x:v>
      </x:c>
      <x:c r="D16" s="34" t="n">
        <x:v>10</x:v>
      </x:c>
      <x:c r="E16" s="34" t="n">
        <x:v>5</x:v>
      </x:c>
      <x:c r="F16" s="34"/>
      <x:c r="G16" s="34" t="str">
        <x:v>N/A</x:v>
      </x:c>
      <x:c r="H16" s="34" t="str">
        <x:v>N/A</x:v>
      </x:c>
      <x:c r="I16" s="34"/>
      <x:c r="J16" s="34"/>
      <x:c r="K16" s="34"/>
      <x:c r="L16" s="34"/>
      <x:c r="M16" s="34"/>
      <x:c r="N16" s="34" t="str">
        <x:v>PENDIENTE_CONFIRMACION</x:v>
      </x:c>
    </x:row>
    <x:row r="17">
      <x:c r="A17" s="34" t="str">
        <x:v>Carpas</x:v>
      </x:c>
      <x:c r="B17" s="34" t="str">
        <x:v>ABIERTA</x:v>
      </x:c>
      <x:c r="C17" s="34" t="str">
        <x:v>Lino liviano</x:v>
      </x:c>
      <x:c r="D17" s="34" t="n">
        <x:v>2</x:v>
      </x:c>
      <x:c r="E17" s="34" t="n">
        <x:v>2</x:v>
      </x:c>
      <x:c r="F17" s="34"/>
      <x:c r="G17" s="34" t="str">
        <x:v>N/A</x:v>
      </x:c>
      <x:c r="H17" s="34" t="str">
        <x:v>N/A</x:v>
      </x:c>
      <x:c r="I17" s="34"/>
      <x:c r="J17" s="34"/>
      <x:c r="K17" s="34"/>
      <x:c r="L17" s="34"/>
      <x:c r="M17" s="34"/>
      <x:c r="N17" s="34" t="str">
        <x:v>PENDIENTE_CONFIRMACION</x:v>
      </x:c>
    </x:row>
    <x:row r="18">
      <x:c r="A18" s="34" t="str">
        <x:v>Carpas</x:v>
      </x:c>
      <x:c r="B18" s="34" t="str">
        <x:v>ABIERTA</x:v>
      </x:c>
      <x:c r="C18" s="34" t="str">
        <x:v>Lino liviano</x:v>
      </x:c>
      <x:c r="D18" s="34" t="n">
        <x:v>2.5</x:v>
      </x:c>
      <x:c r="E18" s="34" t="n">
        <x:v>2</x:v>
      </x:c>
      <x:c r="F18" s="34"/>
      <x:c r="G18" s="34" t="str">
        <x:v>N/A</x:v>
      </x:c>
      <x:c r="H18" s="34" t="str">
        <x:v>N/A</x:v>
      </x:c>
      <x:c r="I18" s="34"/>
      <x:c r="J18" s="34"/>
      <x:c r="K18" s="34"/>
      <x:c r="L18" s="34"/>
      <x:c r="M18" s="34"/>
      <x:c r="N18" s="34" t="str">
        <x:v>PENDIENTE_CONFIRMACION</x:v>
      </x:c>
    </x:row>
    <x:row r="19">
      <x:c r="A19" s="34" t="str">
        <x:v>Carpas</x:v>
      </x:c>
      <x:c r="B19" s="34" t="str">
        <x:v>ABIERTA</x:v>
      </x:c>
      <x:c r="C19" s="34" t="str">
        <x:v>Lino liviano</x:v>
      </x:c>
      <x:c r="D19" s="34" t="n">
        <x:v>3</x:v>
      </x:c>
      <x:c r="E19" s="34" t="n">
        <x:v>2</x:v>
      </x:c>
      <x:c r="F19" s="34"/>
      <x:c r="G19" s="34" t="str">
        <x:v>N/A</x:v>
      </x:c>
      <x:c r="H19" s="34" t="str">
        <x:v>N/A</x:v>
      </x:c>
      <x:c r="I19" s="34"/>
      <x:c r="J19" s="34"/>
      <x:c r="K19" s="34"/>
      <x:c r="L19" s="34"/>
      <x:c r="M19" s="34"/>
      <x:c r="N19" s="34" t="str">
        <x:v>PENDIENTE_CONFIRMACION</x:v>
      </x:c>
    </x:row>
    <x:row r="20">
      <x:c r="A20" s="34" t="str">
        <x:v>Carpas</x:v>
      </x:c>
      <x:c r="B20" s="34" t="str">
        <x:v>ABIERTA</x:v>
      </x:c>
      <x:c r="C20" s="34" t="str">
        <x:v>Lino liviano</x:v>
      </x:c>
      <x:c r="D20" s="34" t="n">
        <x:v>3</x:v>
      </x:c>
      <x:c r="E20" s="34" t="n">
        <x:v>3</x:v>
      </x:c>
      <x:c r="F20" s="34"/>
      <x:c r="G20" s="34" t="str">
        <x:v>N/A</x:v>
      </x:c>
      <x:c r="H20" s="34" t="str">
        <x:v>N/A</x:v>
      </x:c>
      <x:c r="I20" s="34"/>
      <x:c r="J20" s="34"/>
      <x:c r="K20" s="34"/>
      <x:c r="L20" s="34"/>
      <x:c r="M20" s="34"/>
      <x:c r="N20" s="34" t="str">
        <x:v>PENDIENTE_CONFIRMACION</x:v>
      </x:c>
    </x:row>
    <x:row r="21">
      <x:c r="A21" s="34" t="str">
        <x:v>Carpas</x:v>
      </x:c>
      <x:c r="B21" s="34" t="str">
        <x:v>ABIERTA</x:v>
      </x:c>
      <x:c r="C21" s="34" t="str">
        <x:v>Lino liviano</x:v>
      </x:c>
      <x:c r="D21" s="34" t="n">
        <x:v>4</x:v>
      </x:c>
      <x:c r="E21" s="34" t="n">
        <x:v>3</x:v>
      </x:c>
      <x:c r="F21" s="34"/>
      <x:c r="G21" s="34" t="str">
        <x:v>N/A</x:v>
      </x:c>
      <x:c r="H21" s="34" t="str">
        <x:v>N/A</x:v>
      </x:c>
      <x:c r="I21" s="34"/>
      <x:c r="J21" s="34"/>
      <x:c r="K21" s="34"/>
      <x:c r="L21" s="34"/>
      <x:c r="M21" s="34"/>
      <x:c r="N21" s="34" t="str">
        <x:v>PENDIENTE_CONFIRMACION</x:v>
      </x:c>
    </x:row>
    <x:row r="22">
      <x:c r="A22" s="34" t="str">
        <x:v>Carpas</x:v>
      </x:c>
      <x:c r="B22" s="34" t="str">
        <x:v>ABIERTA</x:v>
      </x:c>
      <x:c r="C22" s="34" t="str">
        <x:v>Lino liviano</x:v>
      </x:c>
      <x:c r="D22" s="34" t="n">
        <x:v>5</x:v>
      </x:c>
      <x:c r="E22" s="34" t="n">
        <x:v>4</x:v>
      </x:c>
      <x:c r="F22" s="34"/>
      <x:c r="G22" s="34" t="str">
        <x:v>N/A</x:v>
      </x:c>
      <x:c r="H22" s="34" t="str">
        <x:v>N/A</x:v>
      </x:c>
      <x:c r="I22" s="34"/>
      <x:c r="J22" s="34"/>
      <x:c r="K22" s="34"/>
      <x:c r="L22" s="34"/>
      <x:c r="M22" s="34"/>
      <x:c r="N22" s="34" t="str">
        <x:v>PENDIENTE_CONFIRMACION</x:v>
      </x:c>
    </x:row>
    <x:row r="23">
      <x:c r="A23" s="34" t="str">
        <x:v>Carpas</x:v>
      </x:c>
      <x:c r="B23" s="34" t="str">
        <x:v>ABIERTA</x:v>
      </x:c>
      <x:c r="C23" s="34" t="str">
        <x:v>Lino liviano</x:v>
      </x:c>
      <x:c r="D23" s="34" t="n">
        <x:v>6</x:v>
      </x:c>
      <x:c r="E23" s="34" t="n">
        <x:v>3</x:v>
      </x:c>
      <x:c r="F23" s="34"/>
      <x:c r="G23" s="34" t="str">
        <x:v>N/A</x:v>
      </x:c>
      <x:c r="H23" s="34" t="str">
        <x:v>N/A</x:v>
      </x:c>
      <x:c r="I23" s="34"/>
      <x:c r="J23" s="34"/>
      <x:c r="K23" s="34"/>
      <x:c r="L23" s="34"/>
      <x:c r="M23" s="34"/>
      <x:c r="N23" s="34" t="str">
        <x:v>PENDIENTE_CONFIRMACION</x:v>
      </x:c>
    </x:row>
    <x:row r="24">
      <x:c r="A24" s="34" t="str">
        <x:v>Carpas</x:v>
      </x:c>
      <x:c r="B24" s="34" t="str">
        <x:v>ABIERTA</x:v>
      </x:c>
      <x:c r="C24" s="34" t="str">
        <x:v>Lino liviano</x:v>
      </x:c>
      <x:c r="D24" s="34" t="n">
        <x:v>6</x:v>
      </x:c>
      <x:c r="E24" s="34" t="n">
        <x:v>4</x:v>
      </x:c>
      <x:c r="F24" s="34"/>
      <x:c r="G24" s="34" t="str">
        <x:v>N/A</x:v>
      </x:c>
      <x:c r="H24" s="34" t="str">
        <x:v>N/A</x:v>
      </x:c>
      <x:c r="I24" s="34"/>
      <x:c r="J24" s="34"/>
      <x:c r="K24" s="34"/>
      <x:c r="L24" s="34"/>
      <x:c r="M24" s="34"/>
      <x:c r="N24" s="34" t="str">
        <x:v>PENDIENTE_CONFIRMACION</x:v>
      </x:c>
    </x:row>
    <x:row r="25">
      <x:c r="A25" s="34" t="str">
        <x:v>Carpas</x:v>
      </x:c>
      <x:c r="B25" s="34" t="str">
        <x:v>ABIERTA</x:v>
      </x:c>
      <x:c r="C25" s="34" t="str">
        <x:v>Lino liviano</x:v>
      </x:c>
      <x:c r="D25" s="34" t="n">
        <x:v>6</x:v>
      </x:c>
      <x:c r="E25" s="34" t="n">
        <x:v>5</x:v>
      </x:c>
      <x:c r="F25" s="34"/>
      <x:c r="G25" s="34" t="str">
        <x:v>N/A</x:v>
      </x:c>
      <x:c r="H25" s="34" t="str">
        <x:v>N/A</x:v>
      </x:c>
      <x:c r="I25" s="34"/>
      <x:c r="J25" s="34"/>
      <x:c r="K25" s="34"/>
      <x:c r="L25" s="34"/>
      <x:c r="M25" s="34"/>
      <x:c r="N25" s="34" t="str">
        <x:v>PENDIENTE_CONFIRMACION</x:v>
      </x:c>
    </x:row>
    <x:row r="26">
      <x:c r="A26" s="34" t="str">
        <x:v>Carpas</x:v>
      </x:c>
      <x:c r="B26" s="34" t="str">
        <x:v>ABIERTA</x:v>
      </x:c>
      <x:c r="C26" s="34" t="str">
        <x:v>Lino liviano</x:v>
      </x:c>
      <x:c r="D26" s="34" t="n">
        <x:v>7</x:v>
      </x:c>
      <x:c r="E26" s="34" t="n">
        <x:v>4</x:v>
      </x:c>
      <x:c r="F26" s="34"/>
      <x:c r="G26" s="34" t="str">
        <x:v>N/A</x:v>
      </x:c>
      <x:c r="H26" s="34" t="str">
        <x:v>N/A</x:v>
      </x:c>
      <x:c r="I26" s="34"/>
      <x:c r="J26" s="34"/>
      <x:c r="K26" s="34"/>
      <x:c r="L26" s="34"/>
      <x:c r="M26" s="34"/>
      <x:c r="N26" s="34" t="str">
        <x:v>PENDIENTE_CONFIRMACION</x:v>
      </x:c>
    </x:row>
    <x:row r="27">
      <x:c r="A27" s="34" t="str">
        <x:v>Carpas</x:v>
      </x:c>
      <x:c r="B27" s="34" t="str">
        <x:v>ABIERTA</x:v>
      </x:c>
      <x:c r="C27" s="34" t="str">
        <x:v>Lino liviano</x:v>
      </x:c>
      <x:c r="D27" s="34" t="n">
        <x:v>10</x:v>
      </x:c>
      <x:c r="E27" s="34" t="n">
        <x:v>5</x:v>
      </x:c>
      <x:c r="F27" s="34"/>
      <x:c r="G27" s="34" t="str">
        <x:v>N/A</x:v>
      </x:c>
      <x:c r="H27" s="34" t="str">
        <x:v>N/A</x:v>
      </x:c>
      <x:c r="I27" s="34"/>
      <x:c r="J27" s="34"/>
      <x:c r="K27" s="34"/>
      <x:c r="L27" s="34"/>
      <x:c r="M27" s="34"/>
      <x:c r="N27" s="34" t="str">
        <x:v>PENDIENTE_CONFIRMACION</x:v>
      </x:c>
    </x:row>
    <x:row r="28">
      <x:c r="A28" s="34" t="str">
        <x:v>Carpas</x:v>
      </x:c>
      <x:c r="B28" s="34" t="str">
        <x:v>ABIERTA</x:v>
      </x:c>
      <x:c r="C28" s="34" t="str">
        <x:v>Lino pesado</x:v>
      </x:c>
      <x:c r="D28" s="34" t="n">
        <x:v>2</x:v>
      </x:c>
      <x:c r="E28" s="34" t="n">
        <x:v>2</x:v>
      </x:c>
      <x:c r="F28" s="34"/>
      <x:c r="G28" s="34" t="str">
        <x:v>N/A</x:v>
      </x:c>
      <x:c r="H28" s="34" t="str">
        <x:v>N/A</x:v>
      </x:c>
      <x:c r="I28" s="34"/>
      <x:c r="J28" s="34"/>
      <x:c r="K28" s="34"/>
      <x:c r="L28" s="34"/>
      <x:c r="M28" s="34"/>
      <x:c r="N28" s="34" t="str">
        <x:v>PENDIENTE_CONFIRMACION</x:v>
      </x:c>
    </x:row>
    <x:row r="29">
      <x:c r="A29" s="34" t="str">
        <x:v>Carpas</x:v>
      </x:c>
      <x:c r="B29" s="34" t="str">
        <x:v>ABIERTA</x:v>
      </x:c>
      <x:c r="C29" s="34" t="str">
        <x:v>Lino pesado</x:v>
      </x:c>
      <x:c r="D29" s="34" t="n">
        <x:v>2.5</x:v>
      </x:c>
      <x:c r="E29" s="34" t="n">
        <x:v>2</x:v>
      </x:c>
      <x:c r="F29" s="34"/>
      <x:c r="G29" s="34" t="str">
        <x:v>N/A</x:v>
      </x:c>
      <x:c r="H29" s="34" t="str">
        <x:v>N/A</x:v>
      </x:c>
      <x:c r="I29" s="34"/>
      <x:c r="J29" s="34"/>
      <x:c r="K29" s="34"/>
      <x:c r="L29" s="34"/>
      <x:c r="M29" s="34"/>
      <x:c r="N29" s="34" t="str">
        <x:v>PENDIENTE_CONFIRMACION</x:v>
      </x:c>
    </x:row>
    <x:row r="30">
      <x:c r="A30" s="34" t="str">
        <x:v>Carpas</x:v>
      </x:c>
      <x:c r="B30" s="34" t="str">
        <x:v>ABIERTA</x:v>
      </x:c>
      <x:c r="C30" s="34" t="str">
        <x:v>Lino pesado</x:v>
      </x:c>
      <x:c r="D30" s="34" t="n">
        <x:v>3</x:v>
      </x:c>
      <x:c r="E30" s="34" t="n">
        <x:v>2</x:v>
      </x:c>
      <x:c r="F30" s="34"/>
      <x:c r="G30" s="34" t="str">
        <x:v>N/A</x:v>
      </x:c>
      <x:c r="H30" s="34" t="str">
        <x:v>N/A</x:v>
      </x:c>
      <x:c r="I30" s="34"/>
      <x:c r="J30" s="34"/>
      <x:c r="K30" s="34"/>
      <x:c r="L30" s="34"/>
      <x:c r="M30" s="34"/>
      <x:c r="N30" s="34" t="str">
        <x:v>PENDIENTE_CONFIRMACION</x:v>
      </x:c>
    </x:row>
    <x:row r="31">
      <x:c r="A31" s="34" t="str">
        <x:v>Carpas</x:v>
      </x:c>
      <x:c r="B31" s="34" t="str">
        <x:v>ABIERTA</x:v>
      </x:c>
      <x:c r="C31" s="34" t="str">
        <x:v>Lino pesado</x:v>
      </x:c>
      <x:c r="D31" s="34" t="n">
        <x:v>3</x:v>
      </x:c>
      <x:c r="E31" s="34" t="n">
        <x:v>3</x:v>
      </x:c>
      <x:c r="F31" s="34"/>
      <x:c r="G31" s="34" t="str">
        <x:v>N/A</x:v>
      </x:c>
      <x:c r="H31" s="34" t="str">
        <x:v>N/A</x:v>
      </x:c>
      <x:c r="I31" s="34"/>
      <x:c r="J31" s="34"/>
      <x:c r="K31" s="34"/>
      <x:c r="L31" s="34"/>
      <x:c r="M31" s="34"/>
      <x:c r="N31" s="34" t="str">
        <x:v>PENDIENTE_CONFIRMACION</x:v>
      </x:c>
    </x:row>
    <x:row r="32">
      <x:c r="A32" s="34" t="str">
        <x:v>Carpas</x:v>
      </x:c>
      <x:c r="B32" s="34" t="str">
        <x:v>ABIERTA</x:v>
      </x:c>
      <x:c r="C32" s="34" t="str">
        <x:v>Lino pesado</x:v>
      </x:c>
      <x:c r="D32" s="34" t="n">
        <x:v>4</x:v>
      </x:c>
      <x:c r="E32" s="34" t="n">
        <x:v>3</x:v>
      </x:c>
      <x:c r="F32" s="34"/>
      <x:c r="G32" s="34" t="str">
        <x:v>N/A</x:v>
      </x:c>
      <x:c r="H32" s="34" t="str">
        <x:v>N/A</x:v>
      </x:c>
      <x:c r="I32" s="34"/>
      <x:c r="J32" s="34"/>
      <x:c r="K32" s="34"/>
      <x:c r="L32" s="34"/>
      <x:c r="M32" s="34"/>
      <x:c r="N32" s="34" t="str">
        <x:v>PENDIENTE_CONFIRMACION</x:v>
      </x:c>
    </x:row>
    <x:row r="33">
      <x:c r="A33" s="34" t="str">
        <x:v>Carpas</x:v>
      </x:c>
      <x:c r="B33" s="34" t="str">
        <x:v>ABIERTA</x:v>
      </x:c>
      <x:c r="C33" s="34" t="str">
        <x:v>Lino pesado</x:v>
      </x:c>
      <x:c r="D33" s="34" t="n">
        <x:v>5</x:v>
      </x:c>
      <x:c r="E33" s="34" t="n">
        <x:v>4</x:v>
      </x:c>
      <x:c r="F33" s="34"/>
      <x:c r="G33" s="34" t="str">
        <x:v>N/A</x:v>
      </x:c>
      <x:c r="H33" s="34" t="str">
        <x:v>N/A</x:v>
      </x:c>
      <x:c r="I33" s="34"/>
      <x:c r="J33" s="34"/>
      <x:c r="K33" s="34"/>
      <x:c r="L33" s="34"/>
      <x:c r="M33" s="34"/>
      <x:c r="N33" s="34" t="str">
        <x:v>PENDIENTE_CONFIRMACION</x:v>
      </x:c>
    </x:row>
    <x:row r="34">
      <x:c r="A34" s="34" t="str">
        <x:v>Carpas</x:v>
      </x:c>
      <x:c r="B34" s="34" t="str">
        <x:v>ABIERTA</x:v>
      </x:c>
      <x:c r="C34" s="34" t="str">
        <x:v>Lino pesado</x:v>
      </x:c>
      <x:c r="D34" s="34" t="n">
        <x:v>6</x:v>
      </x:c>
      <x:c r="E34" s="34" t="n">
        <x:v>3</x:v>
      </x:c>
      <x:c r="F34" s="34"/>
      <x:c r="G34" s="34" t="str">
        <x:v>N/A</x:v>
      </x:c>
      <x:c r="H34" s="34" t="str">
        <x:v>N/A</x:v>
      </x:c>
      <x:c r="I34" s="34"/>
      <x:c r="J34" s="34"/>
      <x:c r="K34" s="34"/>
      <x:c r="L34" s="34"/>
      <x:c r="M34" s="34"/>
      <x:c r="N34" s="34" t="str">
        <x:v>PENDIENTE_CONFIRMACION</x:v>
      </x:c>
    </x:row>
    <x:row r="35">
      <x:c r="A35" s="34" t="str">
        <x:v>Carpas</x:v>
      </x:c>
      <x:c r="B35" s="34" t="str">
        <x:v>ABIERTA</x:v>
      </x:c>
      <x:c r="C35" s="34" t="str">
        <x:v>Lino pesado</x:v>
      </x:c>
      <x:c r="D35" s="34" t="n">
        <x:v>6</x:v>
      </x:c>
      <x:c r="E35" s="34" t="n">
        <x:v>4</x:v>
      </x:c>
      <x:c r="F35" s="34"/>
      <x:c r="G35" s="34" t="str">
        <x:v>N/A</x:v>
      </x:c>
      <x:c r="H35" s="34" t="str">
        <x:v>N/A</x:v>
      </x:c>
      <x:c r="I35" s="34"/>
      <x:c r="J35" s="34"/>
      <x:c r="K35" s="34"/>
      <x:c r="L35" s="34"/>
      <x:c r="M35" s="34"/>
      <x:c r="N35" s="34" t="str">
        <x:v>PENDIENTE_CONFIRMACION</x:v>
      </x:c>
    </x:row>
    <x:row r="36">
      <x:c r="A36" s="34" t="str">
        <x:v>Carpas</x:v>
      </x:c>
      <x:c r="B36" s="34" t="str">
        <x:v>ABIERTA</x:v>
      </x:c>
      <x:c r="C36" s="34" t="str">
        <x:v>Lino pesado</x:v>
      </x:c>
      <x:c r="D36" s="34" t="n">
        <x:v>6</x:v>
      </x:c>
      <x:c r="E36" s="34" t="n">
        <x:v>5</x:v>
      </x:c>
      <x:c r="F36" s="34"/>
      <x:c r="G36" s="34" t="str">
        <x:v>N/A</x:v>
      </x:c>
      <x:c r="H36" s="34" t="str">
        <x:v>N/A</x:v>
      </x:c>
      <x:c r="I36" s="34"/>
      <x:c r="J36" s="34"/>
      <x:c r="K36" s="34"/>
      <x:c r="L36" s="34"/>
      <x:c r="M36" s="34"/>
      <x:c r="N36" s="34" t="str">
        <x:v>PENDIENTE_CONFIRMACION</x:v>
      </x:c>
    </x:row>
    <x:row r="37">
      <x:c r="A37" s="34" t="str">
        <x:v>Carpas</x:v>
      </x:c>
      <x:c r="B37" s="34" t="str">
        <x:v>ABIERTA</x:v>
      </x:c>
      <x:c r="C37" s="34" t="str">
        <x:v>Lino pesado</x:v>
      </x:c>
      <x:c r="D37" s="34" t="n">
        <x:v>7</x:v>
      </x:c>
      <x:c r="E37" s="34" t="n">
        <x:v>4</x:v>
      </x:c>
      <x:c r="F37" s="34"/>
      <x:c r="G37" s="34" t="str">
        <x:v>N/A</x:v>
      </x:c>
      <x:c r="H37" s="34" t="str">
        <x:v>N/A</x:v>
      </x:c>
      <x:c r="I37" s="34"/>
      <x:c r="J37" s="34"/>
      <x:c r="K37" s="34"/>
      <x:c r="L37" s="34"/>
      <x:c r="M37" s="34"/>
      <x:c r="N37" s="34" t="str">
        <x:v>PENDIENTE_CONFIRMACION</x:v>
      </x:c>
    </x:row>
    <x:row r="38">
      <x:c r="A38" s="34" t="str">
        <x:v>Carpas</x:v>
      </x:c>
      <x:c r="B38" s="34" t="str">
        <x:v>ABIERTA</x:v>
      </x:c>
      <x:c r="C38" s="34" t="str">
        <x:v>Lino pesado</x:v>
      </x:c>
      <x:c r="D38" s="34" t="n">
        <x:v>10</x:v>
      </x:c>
      <x:c r="E38" s="34" t="n">
        <x:v>5</x:v>
      </x:c>
      <x:c r="F38" s="34"/>
      <x:c r="G38" s="34" t="str">
        <x:v>N/A</x:v>
      </x:c>
      <x:c r="H38" s="34" t="str">
        <x:v>N/A</x:v>
      </x:c>
      <x:c r="I38" s="34"/>
      <x:c r="J38" s="34"/>
      <x:c r="K38" s="34"/>
      <x:c r="L38" s="34"/>
      <x:c r="M38" s="34"/>
      <x:c r="N38" s="34" t="str">
        <x:v>PENDIENTE_CONFIRMACION</x:v>
      </x:c>
    </x:row>
    <x:row r="39">
      <x:c r="A39" s="34" t="str">
        <x:v>Carpas</x:v>
      </x:c>
      <x:c r="B39" s="34" t="str">
        <x:v>CERRADA</x:v>
      </x:c>
      <x:c r="C39" s="34" t="str">
        <x:v>Lino económico</x:v>
      </x:c>
      <x:c r="D39" s="34" t="n">
        <x:v>2</x:v>
      </x:c>
      <x:c r="E39" s="34" t="n">
        <x:v>2</x:v>
      </x:c>
      <x:c r="F39" s="34"/>
      <x:c r="G39" s="34" t="str">
        <x:v>Confirmar</x:v>
      </x:c>
      <x:c r="H39" s="34" t="str">
        <x:v>Confirmar</x:v>
      </x:c>
      <x:c r="I39" s="34"/>
      <x:c r="J39" s="34"/>
      <x:c r="K39" s="34"/>
      <x:c r="L39" s="34"/>
      <x:c r="M39" s="34"/>
      <x:c r="N39" s="34" t="str">
        <x:v>PENDIENTE_CONFIRMACION</x:v>
      </x:c>
    </x:row>
    <x:row r="40">
      <x:c r="A40" s="34" t="str">
        <x:v>Carpas</x:v>
      </x:c>
      <x:c r="B40" s="34" t="str">
        <x:v>CERRADA</x:v>
      </x:c>
      <x:c r="C40" s="34" t="str">
        <x:v>Lino económico</x:v>
      </x:c>
      <x:c r="D40" s="34" t="n">
        <x:v>2.5</x:v>
      </x:c>
      <x:c r="E40" s="34" t="n">
        <x:v>2</x:v>
      </x:c>
      <x:c r="F40" s="34"/>
      <x:c r="G40" s="34" t="str">
        <x:v>Confirmar</x:v>
      </x:c>
      <x:c r="H40" s="34" t="str">
        <x:v>Confirmar</x:v>
      </x:c>
      <x:c r="I40" s="34"/>
      <x:c r="J40" s="34"/>
      <x:c r="K40" s="34"/>
      <x:c r="L40" s="34"/>
      <x:c r="M40" s="34"/>
      <x:c r="N40" s="34" t="str">
        <x:v>PENDIENTE_CONFIRMACION</x:v>
      </x:c>
    </x:row>
    <x:row r="41">
      <x:c r="A41" s="34" t="str">
        <x:v>Carpas</x:v>
      </x:c>
      <x:c r="B41" s="34" t="str">
        <x:v>CERRADA</x:v>
      </x:c>
      <x:c r="C41" s="34" t="str">
        <x:v>Lino económico</x:v>
      </x:c>
      <x:c r="D41" s="34" t="n">
        <x:v>3</x:v>
      </x:c>
      <x:c r="E41" s="34" t="n">
        <x:v>2</x:v>
      </x:c>
      <x:c r="F41" s="34"/>
      <x:c r="G41" s="34" t="str">
        <x:v>Confirmar</x:v>
      </x:c>
      <x:c r="H41" s="34" t="str">
        <x:v>Confirmar</x:v>
      </x:c>
      <x:c r="I41" s="34"/>
      <x:c r="J41" s="34"/>
      <x:c r="K41" s="34"/>
      <x:c r="L41" s="34"/>
      <x:c r="M41" s="34"/>
      <x:c r="N41" s="34" t="str">
        <x:v>PENDIENTE_CONFIRMACION</x:v>
      </x:c>
    </x:row>
    <x:row r="42">
      <x:c r="A42" s="34" t="str">
        <x:v>Carpas</x:v>
      </x:c>
      <x:c r="B42" s="34" t="str">
        <x:v>CERRADA</x:v>
      </x:c>
      <x:c r="C42" s="34" t="str">
        <x:v>Lino económico</x:v>
      </x:c>
      <x:c r="D42" s="34" t="n">
        <x:v>3</x:v>
      </x:c>
      <x:c r="E42" s="34" t="n">
        <x:v>3</x:v>
      </x:c>
      <x:c r="F42" s="34"/>
      <x:c r="G42" s="34" t="str">
        <x:v>Confirmar</x:v>
      </x:c>
      <x:c r="H42" s="34" t="str">
        <x:v>Confirmar</x:v>
      </x:c>
      <x:c r="I42" s="34"/>
      <x:c r="J42" s="34"/>
      <x:c r="K42" s="34"/>
      <x:c r="L42" s="34"/>
      <x:c r="M42" s="34"/>
      <x:c r="N42" s="34" t="str">
        <x:v>PENDIENTE_CONFIRMACION</x:v>
      </x:c>
    </x:row>
    <x:row r="43">
      <x:c r="A43" s="34" t="str">
        <x:v>Carpas</x:v>
      </x:c>
      <x:c r="B43" s="34" t="str">
        <x:v>CERRADA</x:v>
      </x:c>
      <x:c r="C43" s="34" t="str">
        <x:v>Lino económico</x:v>
      </x:c>
      <x:c r="D43" s="34" t="n">
        <x:v>4</x:v>
      </x:c>
      <x:c r="E43" s="34" t="n">
        <x:v>3</x:v>
      </x:c>
      <x:c r="F43" s="34"/>
      <x:c r="G43" s="34" t="str">
        <x:v>Confirmar</x:v>
      </x:c>
      <x:c r="H43" s="34" t="str">
        <x:v>Confirmar</x:v>
      </x:c>
      <x:c r="I43" s="34"/>
      <x:c r="J43" s="34"/>
      <x:c r="K43" s="34"/>
      <x:c r="L43" s="34"/>
      <x:c r="M43" s="34"/>
      <x:c r="N43" s="34" t="str">
        <x:v>PENDIENTE_CONFIRMACION</x:v>
      </x:c>
    </x:row>
    <x:row r="44">
      <x:c r="A44" s="34" t="str">
        <x:v>Carpas</x:v>
      </x:c>
      <x:c r="B44" s="34" t="str">
        <x:v>CERRADA</x:v>
      </x:c>
      <x:c r="C44" s="34" t="str">
        <x:v>Lino económico</x:v>
      </x:c>
      <x:c r="D44" s="34" t="n">
        <x:v>5</x:v>
      </x:c>
      <x:c r="E44" s="34" t="n">
        <x:v>4</x:v>
      </x:c>
      <x:c r="F44" s="34"/>
      <x:c r="G44" s="34" t="str">
        <x:v>Confirmar</x:v>
      </x:c>
      <x:c r="H44" s="34" t="str">
        <x:v>Confirmar</x:v>
      </x:c>
      <x:c r="I44" s="34"/>
      <x:c r="J44" s="34"/>
      <x:c r="K44" s="34"/>
      <x:c r="L44" s="34"/>
      <x:c r="M44" s="34"/>
      <x:c r="N44" s="34" t="str">
        <x:v>PENDIENTE_CONFIRMACION</x:v>
      </x:c>
    </x:row>
    <x:row r="45">
      <x:c r="A45" s="34" t="str">
        <x:v>Carpas</x:v>
      </x:c>
      <x:c r="B45" s="34" t="str">
        <x:v>CERRADA</x:v>
      </x:c>
      <x:c r="C45" s="34" t="str">
        <x:v>Lino económico</x:v>
      </x:c>
      <x:c r="D45" s="34" t="n">
        <x:v>6</x:v>
      </x:c>
      <x:c r="E45" s="34" t="n">
        <x:v>3</x:v>
      </x:c>
      <x:c r="F45" s="34"/>
      <x:c r="G45" s="34" t="str">
        <x:v>Confirmar</x:v>
      </x:c>
      <x:c r="H45" s="34" t="str">
        <x:v>Confirmar</x:v>
      </x:c>
      <x:c r="I45" s="34"/>
      <x:c r="J45" s="34"/>
      <x:c r="K45" s="34"/>
      <x:c r="L45" s="34"/>
      <x:c r="M45" s="34"/>
      <x:c r="N45" s="34" t="str">
        <x:v>PENDIENTE_CONFIRMACION</x:v>
      </x:c>
    </x:row>
    <x:row r="46">
      <x:c r="A46" s="34" t="str">
        <x:v>Carpas</x:v>
      </x:c>
      <x:c r="B46" s="34" t="str">
        <x:v>CERRADA</x:v>
      </x:c>
      <x:c r="C46" s="34" t="str">
        <x:v>Lino económico</x:v>
      </x:c>
      <x:c r="D46" s="34" t="n">
        <x:v>6</x:v>
      </x:c>
      <x:c r="E46" s="34" t="n">
        <x:v>4</x:v>
      </x:c>
      <x:c r="F46" s="34"/>
      <x:c r="G46" s="34" t="str">
        <x:v>Confirmar</x:v>
      </x:c>
      <x:c r="H46" s="34" t="str">
        <x:v>Confirmar</x:v>
      </x:c>
      <x:c r="I46" s="34"/>
      <x:c r="J46" s="34"/>
      <x:c r="K46" s="34"/>
      <x:c r="L46" s="34"/>
      <x:c r="M46" s="34"/>
      <x:c r="N46" s="34" t="str">
        <x:v>PENDIENTE_CONFIRMACION</x:v>
      </x:c>
    </x:row>
    <x:row r="47">
      <x:c r="A47" s="34" t="str">
        <x:v>Carpas</x:v>
      </x:c>
      <x:c r="B47" s="34" t="str">
        <x:v>CERRADA</x:v>
      </x:c>
      <x:c r="C47" s="34" t="str">
        <x:v>Lino económico</x:v>
      </x:c>
      <x:c r="D47" s="34" t="n">
        <x:v>6</x:v>
      </x:c>
      <x:c r="E47" s="34" t="n">
        <x:v>5</x:v>
      </x:c>
      <x:c r="F47" s="34"/>
      <x:c r="G47" s="34" t="str">
        <x:v>Confirmar</x:v>
      </x:c>
      <x:c r="H47" s="34" t="str">
        <x:v>Confirmar</x:v>
      </x:c>
      <x:c r="I47" s="34"/>
      <x:c r="J47" s="34"/>
      <x:c r="K47" s="34"/>
      <x:c r="L47" s="34"/>
      <x:c r="M47" s="34"/>
      <x:c r="N47" s="34" t="str">
        <x:v>PENDIENTE_CONFIRMACION</x:v>
      </x:c>
    </x:row>
    <x:row r="48">
      <x:c r="A48" s="34" t="str">
        <x:v>Carpas</x:v>
      </x:c>
      <x:c r="B48" s="34" t="str">
        <x:v>CERRADA</x:v>
      </x:c>
      <x:c r="C48" s="34" t="str">
        <x:v>Lino económico</x:v>
      </x:c>
      <x:c r="D48" s="34" t="n">
        <x:v>7</x:v>
      </x:c>
      <x:c r="E48" s="34" t="n">
        <x:v>4</x:v>
      </x:c>
      <x:c r="F48" s="34"/>
      <x:c r="G48" s="34" t="str">
        <x:v>Confirmar</x:v>
      </x:c>
      <x:c r="H48" s="34" t="str">
        <x:v>Confirmar</x:v>
      </x:c>
      <x:c r="I48" s="34"/>
      <x:c r="J48" s="34"/>
      <x:c r="K48" s="34"/>
      <x:c r="L48" s="34"/>
      <x:c r="M48" s="34"/>
      <x:c r="N48" s="34" t="str">
        <x:v>PENDIENTE_CONFIRMACION</x:v>
      </x:c>
    </x:row>
    <x:row r="49">
      <x:c r="A49" s="34" t="str">
        <x:v>Carpas</x:v>
      </x:c>
      <x:c r="B49" s="34" t="str">
        <x:v>CERRADA</x:v>
      </x:c>
      <x:c r="C49" s="34" t="str">
        <x:v>Lino económico</x:v>
      </x:c>
      <x:c r="D49" s="34" t="n">
        <x:v>10</x:v>
      </x:c>
      <x:c r="E49" s="34" t="n">
        <x:v>5</x:v>
      </x:c>
      <x:c r="F49" s="34"/>
      <x:c r="G49" s="34" t="str">
        <x:v>Confirmar</x:v>
      </x:c>
      <x:c r="H49" s="34" t="str">
        <x:v>Confirmar</x:v>
      </x:c>
      <x:c r="I49" s="34"/>
      <x:c r="J49" s="34"/>
      <x:c r="K49" s="34"/>
      <x:c r="L49" s="34"/>
      <x:c r="M49" s="34"/>
      <x:c r="N49" s="34" t="str">
        <x:v>PENDIENTE_CONFIRMACION</x:v>
      </x:c>
    </x:row>
    <x:row r="50">
      <x:c r="A50" s="34" t="str">
        <x:v>Carpas</x:v>
      </x:c>
      <x:c r="B50" s="34" t="str">
        <x:v>CERRADA</x:v>
      </x:c>
      <x:c r="C50" s="34" t="str">
        <x:v>Lino liviano</x:v>
      </x:c>
      <x:c r="D50" s="34" t="n">
        <x:v>2</x:v>
      </x:c>
      <x:c r="E50" s="34" t="n">
        <x:v>2</x:v>
      </x:c>
      <x:c r="F50" s="34"/>
      <x:c r="G50" s="34" t="str">
        <x:v>Confirmar</x:v>
      </x:c>
      <x:c r="H50" s="34" t="str">
        <x:v>Confirmar</x:v>
      </x:c>
      <x:c r="I50" s="34"/>
      <x:c r="J50" s="34"/>
      <x:c r="K50" s="34"/>
      <x:c r="L50" s="34"/>
      <x:c r="M50" s="34"/>
      <x:c r="N50" s="34" t="str">
        <x:v>PENDIENTE_CONFIRMACION</x:v>
      </x:c>
    </x:row>
    <x:row r="51">
      <x:c r="A51" s="34" t="str">
        <x:v>Carpas</x:v>
      </x:c>
      <x:c r="B51" s="34" t="str">
        <x:v>CERRADA</x:v>
      </x:c>
      <x:c r="C51" s="34" t="str">
        <x:v>Lino liviano</x:v>
      </x:c>
      <x:c r="D51" s="34" t="n">
        <x:v>2.5</x:v>
      </x:c>
      <x:c r="E51" s="34" t="n">
        <x:v>2</x:v>
      </x:c>
      <x:c r="F51" s="34"/>
      <x:c r="G51" s="34" t="str">
        <x:v>Confirmar</x:v>
      </x:c>
      <x:c r="H51" s="34" t="str">
        <x:v>Confirmar</x:v>
      </x:c>
      <x:c r="I51" s="34"/>
      <x:c r="J51" s="34"/>
      <x:c r="K51" s="34"/>
      <x:c r="L51" s="34"/>
      <x:c r="M51" s="34"/>
      <x:c r="N51" s="34" t="str">
        <x:v>PENDIENTE_CONFIRMACION</x:v>
      </x:c>
    </x:row>
    <x:row r="52">
      <x:c r="A52" s="34" t="str">
        <x:v>Carpas</x:v>
      </x:c>
      <x:c r="B52" s="34" t="str">
        <x:v>CERRADA</x:v>
      </x:c>
      <x:c r="C52" s="34" t="str">
        <x:v>Lino liviano</x:v>
      </x:c>
      <x:c r="D52" s="34" t="n">
        <x:v>3</x:v>
      </x:c>
      <x:c r="E52" s="34" t="n">
        <x:v>2</x:v>
      </x:c>
      <x:c r="F52" s="34"/>
      <x:c r="G52" s="34" t="str">
        <x:v>Confirmar</x:v>
      </x:c>
      <x:c r="H52" s="34" t="str">
        <x:v>Confirmar</x:v>
      </x:c>
      <x:c r="I52" s="34"/>
      <x:c r="J52" s="34"/>
      <x:c r="K52" s="34"/>
      <x:c r="L52" s="34"/>
      <x:c r="M52" s="34"/>
      <x:c r="N52" s="34" t="str">
        <x:v>PENDIENTE_CONFIRMACION</x:v>
      </x:c>
    </x:row>
    <x:row r="53">
      <x:c r="A53" s="34" t="str">
        <x:v>Carpas</x:v>
      </x:c>
      <x:c r="B53" s="34" t="str">
        <x:v>CERRADA</x:v>
      </x:c>
      <x:c r="C53" s="34" t="str">
        <x:v>Lino liviano</x:v>
      </x:c>
      <x:c r="D53" s="34" t="n">
        <x:v>3</x:v>
      </x:c>
      <x:c r="E53" s="34" t="n">
        <x:v>3</x:v>
      </x:c>
      <x:c r="F53" s="34"/>
      <x:c r="G53" s="34" t="str">
        <x:v>Confirmar</x:v>
      </x:c>
      <x:c r="H53" s="34" t="str">
        <x:v>Confirmar</x:v>
      </x:c>
      <x:c r="I53" s="34"/>
      <x:c r="J53" s="34"/>
      <x:c r="K53" s="34"/>
      <x:c r="L53" s="34"/>
      <x:c r="M53" s="34"/>
      <x:c r="N53" s="34" t="str">
        <x:v>PENDIENTE_CONFIRMACION</x:v>
      </x:c>
    </x:row>
    <x:row r="54">
      <x:c r="A54" s="34" t="str">
        <x:v>Carpas</x:v>
      </x:c>
      <x:c r="B54" s="34" t="str">
        <x:v>CERRADA</x:v>
      </x:c>
      <x:c r="C54" s="34" t="str">
        <x:v>Lino liviano</x:v>
      </x:c>
      <x:c r="D54" s="34" t="n">
        <x:v>4</x:v>
      </x:c>
      <x:c r="E54" s="34" t="n">
        <x:v>3</x:v>
      </x:c>
      <x:c r="F54" s="34"/>
      <x:c r="G54" s="34" t="str">
        <x:v>Confirmar</x:v>
      </x:c>
      <x:c r="H54" s="34" t="str">
        <x:v>Confirmar</x:v>
      </x:c>
      <x:c r="I54" s="34"/>
      <x:c r="J54" s="34"/>
      <x:c r="K54" s="34"/>
      <x:c r="L54" s="34"/>
      <x:c r="M54" s="34"/>
      <x:c r="N54" s="34" t="str">
        <x:v>PENDIENTE_CONFIRMACION</x:v>
      </x:c>
    </x:row>
    <x:row r="55">
      <x:c r="A55" s="34" t="str">
        <x:v>Carpas</x:v>
      </x:c>
      <x:c r="B55" s="34" t="str">
        <x:v>CERRADA</x:v>
      </x:c>
      <x:c r="C55" s="34" t="str">
        <x:v>Lino liviano</x:v>
      </x:c>
      <x:c r="D55" s="34" t="n">
        <x:v>5</x:v>
      </x:c>
      <x:c r="E55" s="34" t="n">
        <x:v>4</x:v>
      </x:c>
      <x:c r="F55" s="34"/>
      <x:c r="G55" s="34" t="str">
        <x:v>Confirmar</x:v>
      </x:c>
      <x:c r="H55" s="34" t="str">
        <x:v>Confirmar</x:v>
      </x:c>
      <x:c r="I55" s="34"/>
      <x:c r="J55" s="34"/>
      <x:c r="K55" s="34"/>
      <x:c r="L55" s="34"/>
      <x:c r="M55" s="34"/>
      <x:c r="N55" s="34" t="str">
        <x:v>PENDIENTE_CONFIRMACION</x:v>
      </x:c>
    </x:row>
    <x:row r="56">
      <x:c r="A56" s="34" t="str">
        <x:v>Carpas</x:v>
      </x:c>
      <x:c r="B56" s="34" t="str">
        <x:v>CERRADA</x:v>
      </x:c>
      <x:c r="C56" s="34" t="str">
        <x:v>Lino liviano</x:v>
      </x:c>
      <x:c r="D56" s="34" t="n">
        <x:v>6</x:v>
      </x:c>
      <x:c r="E56" s="34" t="n">
        <x:v>3</x:v>
      </x:c>
      <x:c r="F56" s="34"/>
      <x:c r="G56" s="34" t="str">
        <x:v>Confirmar</x:v>
      </x:c>
      <x:c r="H56" s="34" t="str">
        <x:v>Confirmar</x:v>
      </x:c>
      <x:c r="I56" s="34"/>
      <x:c r="J56" s="34"/>
      <x:c r="K56" s="34"/>
      <x:c r="L56" s="34"/>
      <x:c r="M56" s="34"/>
      <x:c r="N56" s="34" t="str">
        <x:v>PENDIENTE_CONFIRMACION</x:v>
      </x:c>
    </x:row>
    <x:row r="57">
      <x:c r="A57" s="34" t="str">
        <x:v>Carpas</x:v>
      </x:c>
      <x:c r="B57" s="34" t="str">
        <x:v>CERRADA</x:v>
      </x:c>
      <x:c r="C57" s="34" t="str">
        <x:v>Lino liviano</x:v>
      </x:c>
      <x:c r="D57" s="34" t="n">
        <x:v>6</x:v>
      </x:c>
      <x:c r="E57" s="34" t="n">
        <x:v>4</x:v>
      </x:c>
      <x:c r="F57" s="34"/>
      <x:c r="G57" s="34" t="str">
        <x:v>Confirmar</x:v>
      </x:c>
      <x:c r="H57" s="34" t="str">
        <x:v>Confirmar</x:v>
      </x:c>
      <x:c r="I57" s="34"/>
      <x:c r="J57" s="34"/>
      <x:c r="K57" s="34"/>
      <x:c r="L57" s="34"/>
      <x:c r="M57" s="34"/>
      <x:c r="N57" s="34" t="str">
        <x:v>PENDIENTE_CONFIRMACION</x:v>
      </x:c>
    </x:row>
    <x:row r="58">
      <x:c r="A58" s="34" t="str">
        <x:v>Carpas</x:v>
      </x:c>
      <x:c r="B58" s="34" t="str">
        <x:v>CERRADA</x:v>
      </x:c>
      <x:c r="C58" s="34" t="str">
        <x:v>Lino liviano</x:v>
      </x:c>
      <x:c r="D58" s="34" t="n">
        <x:v>6</x:v>
      </x:c>
      <x:c r="E58" s="34" t="n">
        <x:v>5</x:v>
      </x:c>
      <x:c r="F58" s="34"/>
      <x:c r="G58" s="34" t="str">
        <x:v>Confirmar</x:v>
      </x:c>
      <x:c r="H58" s="34" t="str">
        <x:v>Confirmar</x:v>
      </x:c>
      <x:c r="I58" s="34"/>
      <x:c r="J58" s="34"/>
      <x:c r="K58" s="34"/>
      <x:c r="L58" s="34"/>
      <x:c r="M58" s="34"/>
      <x:c r="N58" s="34" t="str">
        <x:v>PENDIENTE_CONFIRMACION</x:v>
      </x:c>
    </x:row>
    <x:row r="59">
      <x:c r="A59" s="34" t="str">
        <x:v>Carpas</x:v>
      </x:c>
      <x:c r="B59" s="34" t="str">
        <x:v>CERRADA</x:v>
      </x:c>
      <x:c r="C59" s="34" t="str">
        <x:v>Lino liviano</x:v>
      </x:c>
      <x:c r="D59" s="34" t="n">
        <x:v>7</x:v>
      </x:c>
      <x:c r="E59" s="34" t="n">
        <x:v>4</x:v>
      </x:c>
      <x:c r="F59" s="34"/>
      <x:c r="G59" s="34" t="str">
        <x:v>Confirmar</x:v>
      </x:c>
      <x:c r="H59" s="34" t="str">
        <x:v>Confirmar</x:v>
      </x:c>
      <x:c r="I59" s="34"/>
      <x:c r="J59" s="34"/>
      <x:c r="K59" s="34"/>
      <x:c r="L59" s="34"/>
      <x:c r="M59" s="34"/>
      <x:c r="N59" s="34" t="str">
        <x:v>PENDIENTE_CONFIRMACION</x:v>
      </x:c>
    </x:row>
    <x:row r="60">
      <x:c r="A60" s="34" t="str">
        <x:v>Carpas</x:v>
      </x:c>
      <x:c r="B60" s="34" t="str">
        <x:v>CERRADA</x:v>
      </x:c>
      <x:c r="C60" s="34" t="str">
        <x:v>Lino liviano</x:v>
      </x:c>
      <x:c r="D60" s="34" t="n">
        <x:v>10</x:v>
      </x:c>
      <x:c r="E60" s="34" t="n">
        <x:v>5</x:v>
      </x:c>
      <x:c r="F60" s="34"/>
      <x:c r="G60" s="34" t="str">
        <x:v>Confirmar</x:v>
      </x:c>
      <x:c r="H60" s="34" t="str">
        <x:v>Confirmar</x:v>
      </x:c>
      <x:c r="I60" s="34"/>
      <x:c r="J60" s="34"/>
      <x:c r="K60" s="34"/>
      <x:c r="L60" s="34"/>
      <x:c r="M60" s="34"/>
      <x:c r="N60" s="34" t="str">
        <x:v>PENDIENTE_CONFIRMACION</x:v>
      </x:c>
    </x:row>
    <x:row r="61">
      <x:c r="A61" s="34" t="str">
        <x:v>Carpas</x:v>
      </x:c>
      <x:c r="B61" s="34" t="str">
        <x:v>CERRADA</x:v>
      </x:c>
      <x:c r="C61" s="34" t="str">
        <x:v>Lino pesado</x:v>
      </x:c>
      <x:c r="D61" s="34" t="n">
        <x:v>2</x:v>
      </x:c>
      <x:c r="E61" s="34" t="n">
        <x:v>2</x:v>
      </x:c>
      <x:c r="F61" s="34"/>
      <x:c r="G61" s="34" t="str">
        <x:v>Confirmar</x:v>
      </x:c>
      <x:c r="H61" s="34" t="str">
        <x:v>Confirmar</x:v>
      </x:c>
      <x:c r="I61" s="34"/>
      <x:c r="J61" s="34"/>
      <x:c r="K61" s="34"/>
      <x:c r="L61" s="34"/>
      <x:c r="M61" s="34"/>
      <x:c r="N61" s="34" t="str">
        <x:v>PENDIENTE_CONFIRMACION</x:v>
      </x:c>
    </x:row>
    <x:row r="62">
      <x:c r="A62" s="34" t="str">
        <x:v>Carpas</x:v>
      </x:c>
      <x:c r="B62" s="34" t="str">
        <x:v>CERRADA</x:v>
      </x:c>
      <x:c r="C62" s="34" t="str">
        <x:v>Lino pesado</x:v>
      </x:c>
      <x:c r="D62" s="34" t="n">
        <x:v>2.5</x:v>
      </x:c>
      <x:c r="E62" s="34" t="n">
        <x:v>2</x:v>
      </x:c>
      <x:c r="F62" s="34"/>
      <x:c r="G62" s="34" t="str">
        <x:v>Confirmar</x:v>
      </x:c>
      <x:c r="H62" s="34" t="str">
        <x:v>Confirmar</x:v>
      </x:c>
      <x:c r="I62" s="34"/>
      <x:c r="J62" s="34"/>
      <x:c r="K62" s="34"/>
      <x:c r="L62" s="34"/>
      <x:c r="M62" s="34"/>
      <x:c r="N62" s="34" t="str">
        <x:v>PENDIENTE_CONFIRMACION</x:v>
      </x:c>
    </x:row>
    <x:row r="63">
      <x:c r="A63" s="34" t="str">
        <x:v>Carpas</x:v>
      </x:c>
      <x:c r="B63" s="34" t="str">
        <x:v>CERRADA</x:v>
      </x:c>
      <x:c r="C63" s="34" t="str">
        <x:v>Lino pesado</x:v>
      </x:c>
      <x:c r="D63" s="34" t="n">
        <x:v>3</x:v>
      </x:c>
      <x:c r="E63" s="34" t="n">
        <x:v>2</x:v>
      </x:c>
      <x:c r="F63" s="34"/>
      <x:c r="G63" s="34" t="str">
        <x:v>Confirmar</x:v>
      </x:c>
      <x:c r="H63" s="34" t="str">
        <x:v>Confirmar</x:v>
      </x:c>
      <x:c r="I63" s="34"/>
      <x:c r="J63" s="34"/>
      <x:c r="K63" s="34"/>
      <x:c r="L63" s="34"/>
      <x:c r="M63" s="34"/>
      <x:c r="N63" s="34" t="str">
        <x:v>PENDIENTE_CONFIRMACION</x:v>
      </x:c>
    </x:row>
    <x:row r="64">
      <x:c r="A64" s="34" t="str">
        <x:v>Carpas</x:v>
      </x:c>
      <x:c r="B64" s="34" t="str">
        <x:v>CERRADA</x:v>
      </x:c>
      <x:c r="C64" s="34" t="str">
        <x:v>Lino pesado</x:v>
      </x:c>
      <x:c r="D64" s="34" t="n">
        <x:v>3</x:v>
      </x:c>
      <x:c r="E64" s="34" t="n">
        <x:v>3</x:v>
      </x:c>
      <x:c r="F64" s="34"/>
      <x:c r="G64" s="34" t="str">
        <x:v>Confirmar</x:v>
      </x:c>
      <x:c r="H64" s="34" t="str">
        <x:v>Confirmar</x:v>
      </x:c>
      <x:c r="I64" s="34"/>
      <x:c r="J64" s="34"/>
      <x:c r="K64" s="34"/>
      <x:c r="L64" s="34"/>
      <x:c r="M64" s="34"/>
      <x:c r="N64" s="34" t="str">
        <x:v>PENDIENTE_CONFIRMACION</x:v>
      </x:c>
    </x:row>
    <x:row r="65">
      <x:c r="A65" s="34" t="str">
        <x:v>Carpas</x:v>
      </x:c>
      <x:c r="B65" s="34" t="str">
        <x:v>CERRADA</x:v>
      </x:c>
      <x:c r="C65" s="34" t="str">
        <x:v>Lino pesado</x:v>
      </x:c>
      <x:c r="D65" s="34" t="n">
        <x:v>4</x:v>
      </x:c>
      <x:c r="E65" s="34" t="n">
        <x:v>3</x:v>
      </x:c>
      <x:c r="F65" s="34"/>
      <x:c r="G65" s="34" t="str">
        <x:v>Confirmar</x:v>
      </x:c>
      <x:c r="H65" s="34" t="str">
        <x:v>Confirmar</x:v>
      </x:c>
      <x:c r="I65" s="34"/>
      <x:c r="J65" s="34"/>
      <x:c r="K65" s="34"/>
      <x:c r="L65" s="34"/>
      <x:c r="M65" s="34"/>
      <x:c r="N65" s="34" t="str">
        <x:v>PENDIENTE_CONFIRMACION</x:v>
      </x:c>
    </x:row>
    <x:row r="66">
      <x:c r="A66" s="34" t="str">
        <x:v>Carpas</x:v>
      </x:c>
      <x:c r="B66" s="34" t="str">
        <x:v>CERRADA</x:v>
      </x:c>
      <x:c r="C66" s="34" t="str">
        <x:v>Lino pesado</x:v>
      </x:c>
      <x:c r="D66" s="34" t="n">
        <x:v>5</x:v>
      </x:c>
      <x:c r="E66" s="34" t="n">
        <x:v>4</x:v>
      </x:c>
      <x:c r="F66" s="34"/>
      <x:c r="G66" s="34" t="str">
        <x:v>Confirmar</x:v>
      </x:c>
      <x:c r="H66" s="34" t="str">
        <x:v>Confirmar</x:v>
      </x:c>
      <x:c r="I66" s="34"/>
      <x:c r="J66" s="34"/>
      <x:c r="K66" s="34"/>
      <x:c r="L66" s="34"/>
      <x:c r="M66" s="34"/>
      <x:c r="N66" s="34" t="str">
        <x:v>PENDIENTE_CONFIRMACION</x:v>
      </x:c>
    </x:row>
    <x:row r="67">
      <x:c r="A67" s="34" t="str">
        <x:v>Carpas</x:v>
      </x:c>
      <x:c r="B67" s="34" t="str">
        <x:v>CERRADA</x:v>
      </x:c>
      <x:c r="C67" s="34" t="str">
        <x:v>Lino pesado</x:v>
      </x:c>
      <x:c r="D67" s="34" t="n">
        <x:v>6</x:v>
      </x:c>
      <x:c r="E67" s="34" t="n">
        <x:v>3</x:v>
      </x:c>
      <x:c r="F67" s="34"/>
      <x:c r="G67" s="34" t="str">
        <x:v>Confirmar</x:v>
      </x:c>
      <x:c r="H67" s="34" t="str">
        <x:v>Confirmar</x:v>
      </x:c>
      <x:c r="I67" s="34"/>
      <x:c r="J67" s="34"/>
      <x:c r="K67" s="34"/>
      <x:c r="L67" s="34"/>
      <x:c r="M67" s="34"/>
      <x:c r="N67" s="34" t="str">
        <x:v>PENDIENTE_CONFIRMACION</x:v>
      </x:c>
    </x:row>
    <x:row r="68">
      <x:c r="A68" s="34" t="str">
        <x:v>Carpas</x:v>
      </x:c>
      <x:c r="B68" s="34" t="str">
        <x:v>CERRADA</x:v>
      </x:c>
      <x:c r="C68" s="34" t="str">
        <x:v>Lino pesado</x:v>
      </x:c>
      <x:c r="D68" s="34" t="n">
        <x:v>6</x:v>
      </x:c>
      <x:c r="E68" s="34" t="n">
        <x:v>4</x:v>
      </x:c>
      <x:c r="F68" s="34"/>
      <x:c r="G68" s="34" t="str">
        <x:v>Confirmar</x:v>
      </x:c>
      <x:c r="H68" s="34" t="str">
        <x:v>Confirmar</x:v>
      </x:c>
      <x:c r="I68" s="34"/>
      <x:c r="J68" s="34"/>
      <x:c r="K68" s="34"/>
      <x:c r="L68" s="34"/>
      <x:c r="M68" s="34"/>
      <x:c r="N68" s="34" t="str">
        <x:v>PENDIENTE_CONFIRMACION</x:v>
      </x:c>
    </x:row>
    <x:row r="69">
      <x:c r="A69" s="34" t="str">
        <x:v>Carpas</x:v>
      </x:c>
      <x:c r="B69" s="34" t="str">
        <x:v>CERRADA</x:v>
      </x:c>
      <x:c r="C69" s="34" t="str">
        <x:v>Lino pesado</x:v>
      </x:c>
      <x:c r="D69" s="34" t="n">
        <x:v>6</x:v>
      </x:c>
      <x:c r="E69" s="34" t="n">
        <x:v>5</x:v>
      </x:c>
      <x:c r="F69" s="34"/>
      <x:c r="G69" s="34" t="str">
        <x:v>Confirmar</x:v>
      </x:c>
      <x:c r="H69" s="34" t="str">
        <x:v>Confirmar</x:v>
      </x:c>
      <x:c r="I69" s="34"/>
      <x:c r="J69" s="34"/>
      <x:c r="K69" s="34"/>
      <x:c r="L69" s="34"/>
      <x:c r="M69" s="34"/>
      <x:c r="N69" s="34" t="str">
        <x:v>PENDIENTE_CONFIRMACION</x:v>
      </x:c>
    </x:row>
    <x:row r="70">
      <x:c r="A70" s="34" t="str">
        <x:v>Carpas</x:v>
      </x:c>
      <x:c r="B70" s="34" t="str">
        <x:v>CERRADA</x:v>
      </x:c>
      <x:c r="C70" s="34" t="str">
        <x:v>Lino pesado</x:v>
      </x:c>
      <x:c r="D70" s="34" t="n">
        <x:v>7</x:v>
      </x:c>
      <x:c r="E70" s="34" t="n">
        <x:v>4</x:v>
      </x:c>
      <x:c r="F70" s="34"/>
      <x:c r="G70" s="34" t="str">
        <x:v>Confirmar</x:v>
      </x:c>
      <x:c r="H70" s="34" t="str">
        <x:v>Confirmar</x:v>
      </x:c>
      <x:c r="I70" s="34"/>
      <x:c r="J70" s="34"/>
      <x:c r="K70" s="34"/>
      <x:c r="L70" s="34"/>
      <x:c r="M70" s="34"/>
      <x:c r="N70" s="34" t="str">
        <x:v>PENDIENTE_CONFIRMACION</x:v>
      </x:c>
    </x:row>
    <x:row r="71">
      <x:c r="A71" s="34" t="str">
        <x:v>Carpas</x:v>
      </x:c>
      <x:c r="B71" s="34" t="str">
        <x:v>CERRADA</x:v>
      </x:c>
      <x:c r="C71" s="34" t="str">
        <x:v>Lino pesado</x:v>
      </x:c>
      <x:c r="D71" s="34" t="n">
        <x:v>10</x:v>
      </x:c>
      <x:c r="E71" s="34" t="n">
        <x:v>5</x:v>
      </x:c>
      <x:c r="F71" s="34"/>
      <x:c r="G71" s="34" t="str">
        <x:v>Confirmar</x:v>
      </x:c>
      <x:c r="H71" s="34" t="str">
        <x:v>Confirmar</x:v>
      </x:c>
      <x:c r="I71" s="34"/>
      <x:c r="J71" s="34"/>
      <x:c r="K71" s="34"/>
      <x:c r="L71" s="34"/>
      <x:c r="M71" s="34"/>
      <x:c r="N71" s="34" t="str">
        <x:v>PENDIENTE_CONFIRMACION</x:v>
      </x:c>
    </x:row>
    <x:row r="72">
      <x:c r="A72" s="34" t="str">
        <x:v>Toldos</x:v>
      </x:c>
      <x:c r="B72" s="34" t="str">
        <x:v>N/A</x:v>
      </x:c>
      <x:c r="C72" s="34" t="str">
        <x:v>Tarflex</x:v>
      </x:c>
      <x:c r="D72" s="34" t="n">
        <x:v>2</x:v>
      </x:c>
      <x:c r="E72" s="34" t="n">
        <x:v>2</x:v>
      </x:c>
      <x:c r="F72" s="34"/>
      <x:c r="G72" s="34" t="str">
        <x:v>N/A</x:v>
      </x:c>
      <x:c r="H72" s="34" t="str">
        <x:v>N/A</x:v>
      </x:c>
      <x:c r="I72" s="34"/>
      <x:c r="J72" s="34"/>
      <x:c r="K72" s="34"/>
      <x:c r="L72" s="34"/>
      <x:c r="M72" s="34"/>
      <x:c r="N72" s="34" t="str">
        <x:v>PENDIENTE_CONFIRMACION</x:v>
      </x:c>
    </x:row>
    <x:row r="73">
      <x:c r="A73" s="34" t="str">
        <x:v>Toldos</x:v>
      </x:c>
      <x:c r="B73" s="34" t="str">
        <x:v>N/A</x:v>
      </x:c>
      <x:c r="C73" s="34" t="str">
        <x:v>Tarflex</x:v>
      </x:c>
      <x:c r="D73" s="34" t="n">
        <x:v>2.5</x:v>
      </x:c>
      <x:c r="E73" s="34" t="n">
        <x:v>2</x:v>
      </x:c>
      <x:c r="F73" s="34"/>
      <x:c r="G73" s="34" t="str">
        <x:v>N/A</x:v>
      </x:c>
      <x:c r="H73" s="34" t="str">
        <x:v>N/A</x:v>
      </x:c>
      <x:c r="I73" s="34"/>
      <x:c r="J73" s="34"/>
      <x:c r="K73" s="34"/>
      <x:c r="L73" s="34"/>
      <x:c r="M73" s="34"/>
      <x:c r="N73" s="34" t="str">
        <x:v>PENDIENTE_CONFIRMACION</x:v>
      </x:c>
    </x:row>
    <x:row r="74">
      <x:c r="A74" s="34" t="str">
        <x:v>Toldos</x:v>
      </x:c>
      <x:c r="B74" s="34" t="str">
        <x:v>N/A</x:v>
      </x:c>
      <x:c r="C74" s="34" t="str">
        <x:v>Tarflex</x:v>
      </x:c>
      <x:c r="D74" s="34" t="n">
        <x:v>3</x:v>
      </x:c>
      <x:c r="E74" s="34" t="n">
        <x:v>2</x:v>
      </x:c>
      <x:c r="F74" s="34"/>
      <x:c r="G74" s="34" t="str">
        <x:v>N/A</x:v>
      </x:c>
      <x:c r="H74" s="34" t="str">
        <x:v>N/A</x:v>
      </x:c>
      <x:c r="I74" s="34"/>
      <x:c r="J74" s="34"/>
      <x:c r="K74" s="34"/>
      <x:c r="L74" s="34"/>
      <x:c r="M74" s="34"/>
      <x:c r="N74" s="34" t="str">
        <x:v>PENDIENTE_CONFIRMACION</x:v>
      </x:c>
    </x:row>
    <x:row r="75">
      <x:c r="A75" s="34" t="str">
        <x:v>Toldos</x:v>
      </x:c>
      <x:c r="B75" s="34" t="str">
        <x:v>N/A</x:v>
      </x:c>
      <x:c r="C75" s="34" t="str">
        <x:v>Tarflex</x:v>
      </x:c>
      <x:c r="D75" s="34" t="n">
        <x:v>3</x:v>
      </x:c>
      <x:c r="E75" s="34" t="n">
        <x:v>3</x:v>
      </x:c>
      <x:c r="F75" s="34"/>
      <x:c r="G75" s="34" t="str">
        <x:v>N/A</x:v>
      </x:c>
      <x:c r="H75" s="34" t="str">
        <x:v>N/A</x:v>
      </x:c>
      <x:c r="I75" s="34"/>
      <x:c r="J75" s="34"/>
      <x:c r="K75" s="34"/>
      <x:c r="L75" s="34"/>
      <x:c r="M75" s="34"/>
      <x:c r="N75" s="34" t="str">
        <x:v>PENDIENTE_CONFIRMACION</x:v>
      </x:c>
    </x:row>
    <x:row r="76">
      <x:c r="A76" s="34" t="str">
        <x:v>Toldos</x:v>
      </x:c>
      <x:c r="B76" s="34" t="str">
        <x:v>N/A</x:v>
      </x:c>
      <x:c r="C76" s="34" t="str">
        <x:v>Tarflex</x:v>
      </x:c>
      <x:c r="D76" s="34" t="n">
        <x:v>4</x:v>
      </x:c>
      <x:c r="E76" s="34" t="n">
        <x:v>3</x:v>
      </x:c>
      <x:c r="F76" s="34"/>
      <x:c r="G76" s="34" t="str">
        <x:v>N/A</x:v>
      </x:c>
      <x:c r="H76" s="34" t="str">
        <x:v>N/A</x:v>
      </x:c>
      <x:c r="I76" s="34"/>
      <x:c r="J76" s="34"/>
      <x:c r="K76" s="34"/>
      <x:c r="L76" s="34"/>
      <x:c r="M76" s="34"/>
      <x:c r="N76" s="34" t="str">
        <x:v>PENDIENTE_CONFIRMACION</x:v>
      </x:c>
    </x:row>
    <x:row r="77">
      <x:c r="A77" s="34" t="str">
        <x:v>Toldos</x:v>
      </x:c>
      <x:c r="B77" s="34" t="str">
        <x:v>N/A</x:v>
      </x:c>
      <x:c r="C77" s="34" t="str">
        <x:v>Tarflex</x:v>
      </x:c>
      <x:c r="D77" s="34" t="n">
        <x:v>5</x:v>
      </x:c>
      <x:c r="E77" s="34" t="n">
        <x:v>4</x:v>
      </x:c>
      <x:c r="F77" s="34"/>
      <x:c r="G77" s="34" t="str">
        <x:v>N/A</x:v>
      </x:c>
      <x:c r="H77" s="34" t="str">
        <x:v>N/A</x:v>
      </x:c>
      <x:c r="I77" s="34"/>
      <x:c r="J77" s="34"/>
      <x:c r="K77" s="34"/>
      <x:c r="L77" s="34"/>
      <x:c r="M77" s="34"/>
      <x:c r="N77" s="34" t="str">
        <x:v>PENDIENTE_CONFIRMACION</x:v>
      </x:c>
    </x:row>
    <x:row r="78">
      <x:c r="A78" s="34" t="str">
        <x:v>Toldos</x:v>
      </x:c>
      <x:c r="B78" s="34" t="str">
        <x:v>N/A</x:v>
      </x:c>
      <x:c r="C78" s="34" t="str">
        <x:v>Tarflex</x:v>
      </x:c>
      <x:c r="D78" s="34" t="n">
        <x:v>6</x:v>
      </x:c>
      <x:c r="E78" s="34" t="n">
        <x:v>3</x:v>
      </x:c>
      <x:c r="F78" s="34"/>
      <x:c r="G78" s="34" t="str">
        <x:v>N/A</x:v>
      </x:c>
      <x:c r="H78" s="34" t="str">
        <x:v>N/A</x:v>
      </x:c>
      <x:c r="I78" s="34"/>
      <x:c r="J78" s="34"/>
      <x:c r="K78" s="34"/>
      <x:c r="L78" s="34"/>
      <x:c r="M78" s="34"/>
      <x:c r="N78" s="34" t="str">
        <x:v>PENDIENTE_CONFIRMACION</x:v>
      </x:c>
    </x:row>
    <x:row r="79">
      <x:c r="A79" s="34" t="str">
        <x:v>Toldos</x:v>
      </x:c>
      <x:c r="B79" s="34" t="str">
        <x:v>N/A</x:v>
      </x:c>
      <x:c r="C79" s="34" t="str">
        <x:v>Tarflex</x:v>
      </x:c>
      <x:c r="D79" s="34" t="n">
        <x:v>6</x:v>
      </x:c>
      <x:c r="E79" s="34" t="n">
        <x:v>4</x:v>
      </x:c>
      <x:c r="F79" s="34"/>
      <x:c r="G79" s="34" t="str">
        <x:v>N/A</x:v>
      </x:c>
      <x:c r="H79" s="34" t="str">
        <x:v>N/A</x:v>
      </x:c>
      <x:c r="I79" s="34"/>
      <x:c r="J79" s="34"/>
      <x:c r="K79" s="34"/>
      <x:c r="L79" s="34"/>
      <x:c r="M79" s="34"/>
      <x:c r="N79" s="34" t="str">
        <x:v>PENDIENTE_CONFIRMACION</x:v>
      </x:c>
    </x:row>
    <x:row r="80">
      <x:c r="A80" s="34" t="str">
        <x:v>Toldos</x:v>
      </x:c>
      <x:c r="B80" s="34" t="str">
        <x:v>N/A</x:v>
      </x:c>
      <x:c r="C80" s="34" t="str">
        <x:v>Tarflex</x:v>
      </x:c>
      <x:c r="D80" s="34" t="n">
        <x:v>6</x:v>
      </x:c>
      <x:c r="E80" s="34" t="n">
        <x:v>5</x:v>
      </x:c>
      <x:c r="F80" s="34"/>
      <x:c r="G80" s="34" t="str">
        <x:v>N/A</x:v>
      </x:c>
      <x:c r="H80" s="34" t="str">
        <x:v>N/A</x:v>
      </x:c>
      <x:c r="I80" s="34"/>
      <x:c r="J80" s="34"/>
      <x:c r="K80" s="34"/>
      <x:c r="L80" s="34"/>
      <x:c r="M80" s="34"/>
      <x:c r="N80" s="34" t="str">
        <x:v>PENDIENTE_CONFIRMACION</x:v>
      </x:c>
    </x:row>
    <x:row r="81">
      <x:c r="A81" s="34" t="str">
        <x:v>Toldos</x:v>
      </x:c>
      <x:c r="B81" s="34" t="str">
        <x:v>N/A</x:v>
      </x:c>
      <x:c r="C81" s="34" t="str">
        <x:v>Tarflex</x:v>
      </x:c>
      <x:c r="D81" s="34" t="n">
        <x:v>7</x:v>
      </x:c>
      <x:c r="E81" s="34" t="n">
        <x:v>4</x:v>
      </x:c>
      <x:c r="F81" s="34"/>
      <x:c r="G81" s="34" t="str">
        <x:v>N/A</x:v>
      </x:c>
      <x:c r="H81" s="34" t="str">
        <x:v>N/A</x:v>
      </x:c>
      <x:c r="I81" s="34"/>
      <x:c r="J81" s="34"/>
      <x:c r="K81" s="34"/>
      <x:c r="L81" s="34"/>
      <x:c r="M81" s="34"/>
      <x:c r="N81" s="34" t="str">
        <x:v>PENDIENTE_CONFIRMACION</x:v>
      </x:c>
    </x:row>
    <x:row r="82">
      <x:c r="A82" s="34" t="str">
        <x:v>Toldos</x:v>
      </x:c>
      <x:c r="B82" s="34" t="str">
        <x:v>N/A</x:v>
      </x:c>
      <x:c r="C82" s="34" t="str">
        <x:v>Tarflex</x:v>
      </x:c>
      <x:c r="D82" s="34" t="n">
        <x:v>10</x:v>
      </x:c>
      <x:c r="E82" s="34" t="n">
        <x:v>5</x:v>
      </x:c>
      <x:c r="F82" s="34"/>
      <x:c r="G82" s="34" t="str">
        <x:v>N/A</x:v>
      </x:c>
      <x:c r="H82" s="34" t="str">
        <x:v>N/A</x:v>
      </x:c>
      <x:c r="I82" s="34"/>
      <x:c r="J82" s="34"/>
      <x:c r="K82" s="34"/>
      <x:c r="L82" s="34"/>
      <x:c r="M82" s="34"/>
      <x:c r="N82" s="34" t="str">
        <x:v>PENDIENTE_CONFIRMACION</x:v>
      </x:c>
    </x:row>
    <x:row r="83">
      <x:c r="A83" s="34" t="str">
        <x:v>Toldos</x:v>
      </x:c>
      <x:c r="B83" s="34" t="str">
        <x:v>N/A</x:v>
      </x:c>
      <x:c r="C83" s="34" t="str">
        <x:v>Lona orillo azul</x:v>
      </x:c>
      <x:c r="D83" s="34" t="n">
        <x:v>2</x:v>
      </x:c>
      <x:c r="E83" s="34" t="n">
        <x:v>2</x:v>
      </x:c>
      <x:c r="F83" s="34"/>
      <x:c r="G83" s="34" t="str">
        <x:v>N/A</x:v>
      </x:c>
      <x:c r="H83" s="34" t="str">
        <x:v>N/A</x:v>
      </x:c>
      <x:c r="I83" s="34"/>
      <x:c r="J83" s="34"/>
      <x:c r="K83" s="34"/>
      <x:c r="L83" s="34"/>
      <x:c r="M83" s="34"/>
      <x:c r="N83" s="34" t="str">
        <x:v>PENDIENTE_CONFIRMACION</x:v>
      </x:c>
    </x:row>
    <x:row r="84">
      <x:c r="A84" s="34" t="str">
        <x:v>Toldos</x:v>
      </x:c>
      <x:c r="B84" s="34" t="str">
        <x:v>N/A</x:v>
      </x:c>
      <x:c r="C84" s="34" t="str">
        <x:v>Lona orillo azul</x:v>
      </x:c>
      <x:c r="D84" s="34" t="n">
        <x:v>2.5</x:v>
      </x:c>
      <x:c r="E84" s="34" t="n">
        <x:v>2</x:v>
      </x:c>
      <x:c r="F84" s="34"/>
      <x:c r="G84" s="34" t="str">
        <x:v>N/A</x:v>
      </x:c>
      <x:c r="H84" s="34" t="str">
        <x:v>N/A</x:v>
      </x:c>
      <x:c r="I84" s="34"/>
      <x:c r="J84" s="34"/>
      <x:c r="K84" s="34"/>
      <x:c r="L84" s="34"/>
      <x:c r="M84" s="34"/>
      <x:c r="N84" s="34" t="str">
        <x:v>PENDIENTE_CONFIRMACION</x:v>
      </x:c>
    </x:row>
    <x:row r="85">
      <x:c r="A85" s="34" t="str">
        <x:v>Toldos</x:v>
      </x:c>
      <x:c r="B85" s="34" t="str">
        <x:v>N/A</x:v>
      </x:c>
      <x:c r="C85" s="34" t="str">
        <x:v>Lona orillo azul</x:v>
      </x:c>
      <x:c r="D85" s="34" t="n">
        <x:v>3</x:v>
      </x:c>
      <x:c r="E85" s="34" t="n">
        <x:v>2</x:v>
      </x:c>
      <x:c r="F85" s="34"/>
      <x:c r="G85" s="34" t="str">
        <x:v>N/A</x:v>
      </x:c>
      <x:c r="H85" s="34" t="str">
        <x:v>N/A</x:v>
      </x:c>
      <x:c r="I85" s="34"/>
      <x:c r="J85" s="34"/>
      <x:c r="K85" s="34"/>
      <x:c r="L85" s="34"/>
      <x:c r="M85" s="34"/>
      <x:c r="N85" s="34" t="str">
        <x:v>PENDIENTE_CONFIRMACION</x:v>
      </x:c>
    </x:row>
    <x:row r="86">
      <x:c r="A86" s="34" t="str">
        <x:v>Toldos</x:v>
      </x:c>
      <x:c r="B86" s="34" t="str">
        <x:v>N/A</x:v>
      </x:c>
      <x:c r="C86" s="34" t="str">
        <x:v>Lona orillo azul</x:v>
      </x:c>
      <x:c r="D86" s="34" t="n">
        <x:v>3</x:v>
      </x:c>
      <x:c r="E86" s="34" t="n">
        <x:v>3</x:v>
      </x:c>
      <x:c r="F86" s="34"/>
      <x:c r="G86" s="34" t="str">
        <x:v>N/A</x:v>
      </x:c>
      <x:c r="H86" s="34" t="str">
        <x:v>N/A</x:v>
      </x:c>
      <x:c r="I86" s="34"/>
      <x:c r="J86" s="34"/>
      <x:c r="K86" s="34"/>
      <x:c r="L86" s="34"/>
      <x:c r="M86" s="34"/>
      <x:c r="N86" s="34" t="str">
        <x:v>PENDIENTE_CONFIRMACION</x:v>
      </x:c>
    </x:row>
    <x:row r="87">
      <x:c r="A87" s="34" t="str">
        <x:v>Toldos</x:v>
      </x:c>
      <x:c r="B87" s="34" t="str">
        <x:v>N/A</x:v>
      </x:c>
      <x:c r="C87" s="34" t="str">
        <x:v>Lona orillo azul</x:v>
      </x:c>
      <x:c r="D87" s="34" t="n">
        <x:v>4</x:v>
      </x:c>
      <x:c r="E87" s="34" t="n">
        <x:v>3</x:v>
      </x:c>
      <x:c r="F87" s="34"/>
      <x:c r="G87" s="34" t="str">
        <x:v>N/A</x:v>
      </x:c>
      <x:c r="H87" s="34" t="str">
        <x:v>N/A</x:v>
      </x:c>
      <x:c r="I87" s="34"/>
      <x:c r="J87" s="34"/>
      <x:c r="K87" s="34"/>
      <x:c r="L87" s="34"/>
      <x:c r="M87" s="34"/>
      <x:c r="N87" s="34" t="str">
        <x:v>PENDIENTE_CONFIRMACION</x:v>
      </x:c>
    </x:row>
    <x:row r="88">
      <x:c r="A88" s="34" t="str">
        <x:v>Toldos</x:v>
      </x:c>
      <x:c r="B88" s="34" t="str">
        <x:v>N/A</x:v>
      </x:c>
      <x:c r="C88" s="34" t="str">
        <x:v>Lona orillo azul</x:v>
      </x:c>
      <x:c r="D88" s="34" t="n">
        <x:v>5</x:v>
      </x:c>
      <x:c r="E88" s="34" t="n">
        <x:v>4</x:v>
      </x:c>
      <x:c r="F88" s="34"/>
      <x:c r="G88" s="34" t="str">
        <x:v>N/A</x:v>
      </x:c>
      <x:c r="H88" s="34" t="str">
        <x:v>N/A</x:v>
      </x:c>
      <x:c r="I88" s="34"/>
      <x:c r="J88" s="34"/>
      <x:c r="K88" s="34"/>
      <x:c r="L88" s="34"/>
      <x:c r="M88" s="34"/>
      <x:c r="N88" s="34" t="str">
        <x:v>PENDIENTE_CONFIRMACION</x:v>
      </x:c>
    </x:row>
    <x:row r="89">
      <x:c r="A89" s="34" t="str">
        <x:v>Toldos</x:v>
      </x:c>
      <x:c r="B89" s="34" t="str">
        <x:v>N/A</x:v>
      </x:c>
      <x:c r="C89" s="34" t="str">
        <x:v>Lona orillo azul</x:v>
      </x:c>
      <x:c r="D89" s="34" t="n">
        <x:v>6</x:v>
      </x:c>
      <x:c r="E89" s="34" t="n">
        <x:v>3</x:v>
      </x:c>
      <x:c r="F89" s="34"/>
      <x:c r="G89" s="34" t="str">
        <x:v>N/A</x:v>
      </x:c>
      <x:c r="H89" s="34" t="str">
        <x:v>N/A</x:v>
      </x:c>
      <x:c r="I89" s="34"/>
      <x:c r="J89" s="34"/>
      <x:c r="K89" s="34"/>
      <x:c r="L89" s="34"/>
      <x:c r="M89" s="34"/>
      <x:c r="N89" s="34" t="str">
        <x:v>PENDIENTE_CONFIRMACION</x:v>
      </x:c>
    </x:row>
    <x:row r="90">
      <x:c r="A90" s="34" t="str">
        <x:v>Toldos</x:v>
      </x:c>
      <x:c r="B90" s="34" t="str">
        <x:v>N/A</x:v>
      </x:c>
      <x:c r="C90" s="34" t="str">
        <x:v>Lona orillo azul</x:v>
      </x:c>
      <x:c r="D90" s="34" t="n">
        <x:v>6</x:v>
      </x:c>
      <x:c r="E90" s="34" t="n">
        <x:v>4</x:v>
      </x:c>
      <x:c r="F90" s="34"/>
      <x:c r="G90" s="34" t="str">
        <x:v>N/A</x:v>
      </x:c>
      <x:c r="H90" s="34" t="str">
        <x:v>N/A</x:v>
      </x:c>
      <x:c r="I90" s="34"/>
      <x:c r="J90" s="34"/>
      <x:c r="K90" s="34"/>
      <x:c r="L90" s="34"/>
      <x:c r="M90" s="34"/>
      <x:c r="N90" s="34" t="str">
        <x:v>PENDIENTE_CONFIRMACION</x:v>
      </x:c>
    </x:row>
    <x:row r="91">
      <x:c r="A91" s="34" t="str">
        <x:v>Toldos</x:v>
      </x:c>
      <x:c r="B91" s="34" t="str">
        <x:v>N/A</x:v>
      </x:c>
      <x:c r="C91" s="34" t="str">
        <x:v>Lona orillo azul</x:v>
      </x:c>
      <x:c r="D91" s="34" t="n">
        <x:v>6</x:v>
      </x:c>
      <x:c r="E91" s="34" t="n">
        <x:v>5</x:v>
      </x:c>
      <x:c r="F91" s="34"/>
      <x:c r="G91" s="34" t="str">
        <x:v>N/A</x:v>
      </x:c>
      <x:c r="H91" s="34" t="str">
        <x:v>N/A</x:v>
      </x:c>
      <x:c r="I91" s="34"/>
      <x:c r="J91" s="34"/>
      <x:c r="K91" s="34"/>
      <x:c r="L91" s="34"/>
      <x:c r="M91" s="34"/>
      <x:c r="N91" s="34" t="str">
        <x:v>PENDIENTE_CONFIRMACION</x:v>
      </x:c>
    </x:row>
    <x:row r="92">
      <x:c r="A92" s="34" t="str">
        <x:v>Toldos</x:v>
      </x:c>
      <x:c r="B92" s="34" t="str">
        <x:v>N/A</x:v>
      </x:c>
      <x:c r="C92" s="34" t="str">
        <x:v>Lona orillo azul</x:v>
      </x:c>
      <x:c r="D92" s="34" t="n">
        <x:v>7</x:v>
      </x:c>
      <x:c r="E92" s="34" t="n">
        <x:v>4</x:v>
      </x:c>
      <x:c r="F92" s="34"/>
      <x:c r="G92" s="34" t="str">
        <x:v>N/A</x:v>
      </x:c>
      <x:c r="H92" s="34" t="str">
        <x:v>N/A</x:v>
      </x:c>
      <x:c r="I92" s="34"/>
      <x:c r="J92" s="34"/>
      <x:c r="K92" s="34"/>
      <x:c r="L92" s="34"/>
      <x:c r="M92" s="34"/>
      <x:c r="N92" s="34" t="str">
        <x:v>PENDIENTE_CONFIRMACION</x:v>
      </x:c>
    </x:row>
    <x:row r="93">
      <x:c r="A93" s="34" t="str">
        <x:v>Toldos</x:v>
      </x:c>
      <x:c r="B93" s="34" t="str">
        <x:v>N/A</x:v>
      </x:c>
      <x:c r="C93" s="34" t="str">
        <x:v>Lona orillo azul</x:v>
      </x:c>
      <x:c r="D93" s="34" t="n">
        <x:v>10</x:v>
      </x:c>
      <x:c r="E93" s="34" t="n">
        <x:v>5</x:v>
      </x:c>
      <x:c r="F93" s="34"/>
      <x:c r="G93" s="34" t="str">
        <x:v>N/A</x:v>
      </x:c>
      <x:c r="H93" s="34" t="str">
        <x:v>N/A</x:v>
      </x:c>
      <x:c r="I93" s="34"/>
      <x:c r="J93" s="34"/>
      <x:c r="K93" s="34"/>
      <x:c r="L93" s="34"/>
      <x:c r="M93" s="34"/>
      <x:c r="N93" s="34" t="str">
        <x:v>PENDIENTE_CONFIRMACION</x:v>
      </x:c>
    </x:row>
    <x:row r="94">
      <x:c r="A94" s="34" t="str">
        <x:v>Toldos</x:v>
      </x:c>
      <x:c r="B94" s="34" t="str">
        <x:v>N/A</x:v>
      </x:c>
      <x:c r="C94" s="34" t="str">
        <x:v>Lona orillo rojo</x:v>
      </x:c>
      <x:c r="D94" s="34" t="n">
        <x:v>2</x:v>
      </x:c>
      <x:c r="E94" s="34" t="n">
        <x:v>2</x:v>
      </x:c>
      <x:c r="F94" s="34"/>
      <x:c r="G94" s="34" t="str">
        <x:v>N/A</x:v>
      </x:c>
      <x:c r="H94" s="34" t="str">
        <x:v>N/A</x:v>
      </x:c>
      <x:c r="I94" s="34"/>
      <x:c r="J94" s="34"/>
      <x:c r="K94" s="34"/>
      <x:c r="L94" s="34"/>
      <x:c r="M94" s="34"/>
      <x:c r="N94" s="34" t="str">
        <x:v>PENDIENTE_CONFIRMACION</x:v>
      </x:c>
    </x:row>
    <x:row r="95">
      <x:c r="A95" s="34" t="str">
        <x:v>Toldos</x:v>
      </x:c>
      <x:c r="B95" s="34" t="str">
        <x:v>N/A</x:v>
      </x:c>
      <x:c r="C95" s="34" t="str">
        <x:v>Lona orillo rojo</x:v>
      </x:c>
      <x:c r="D95" s="34" t="n">
        <x:v>2.5</x:v>
      </x:c>
      <x:c r="E95" s="34" t="n">
        <x:v>2</x:v>
      </x:c>
      <x:c r="F95" s="34"/>
      <x:c r="G95" s="34" t="str">
        <x:v>N/A</x:v>
      </x:c>
      <x:c r="H95" s="34" t="str">
        <x:v>N/A</x:v>
      </x:c>
      <x:c r="I95" s="34"/>
      <x:c r="J95" s="34"/>
      <x:c r="K95" s="34"/>
      <x:c r="L95" s="34"/>
      <x:c r="M95" s="34"/>
      <x:c r="N95" s="34" t="str">
        <x:v>PENDIENTE_CONFIRMACION</x:v>
      </x:c>
    </x:row>
    <x:row r="96">
      <x:c r="A96" s="34" t="str">
        <x:v>Toldos</x:v>
      </x:c>
      <x:c r="B96" s="34" t="str">
        <x:v>N/A</x:v>
      </x:c>
      <x:c r="C96" s="34" t="str">
        <x:v>Lona orillo rojo</x:v>
      </x:c>
      <x:c r="D96" s="34" t="n">
        <x:v>3</x:v>
      </x:c>
      <x:c r="E96" s="34" t="n">
        <x:v>2</x:v>
      </x:c>
      <x:c r="F96" s="34"/>
      <x:c r="G96" s="34" t="str">
        <x:v>N/A</x:v>
      </x:c>
      <x:c r="H96" s="34" t="str">
        <x:v>N/A</x:v>
      </x:c>
      <x:c r="I96" s="34"/>
      <x:c r="J96" s="34"/>
      <x:c r="K96" s="34"/>
      <x:c r="L96" s="34"/>
      <x:c r="M96" s="34"/>
      <x:c r="N96" s="34" t="str">
        <x:v>PENDIENTE_CONFIRMACION</x:v>
      </x:c>
    </x:row>
    <x:row r="97">
      <x:c r="A97" s="34" t="str">
        <x:v>Toldos</x:v>
      </x:c>
      <x:c r="B97" s="34" t="str">
        <x:v>N/A</x:v>
      </x:c>
      <x:c r="C97" s="34" t="str">
        <x:v>Lona orillo rojo</x:v>
      </x:c>
      <x:c r="D97" s="34" t="n">
        <x:v>3</x:v>
      </x:c>
      <x:c r="E97" s="34" t="n">
        <x:v>3</x:v>
      </x:c>
      <x:c r="F97" s="34"/>
      <x:c r="G97" s="34" t="str">
        <x:v>N/A</x:v>
      </x:c>
      <x:c r="H97" s="34" t="str">
        <x:v>N/A</x:v>
      </x:c>
      <x:c r="I97" s="34"/>
      <x:c r="J97" s="34"/>
      <x:c r="K97" s="34"/>
      <x:c r="L97" s="34"/>
      <x:c r="M97" s="34"/>
      <x:c r="N97" s="34" t="str">
        <x:v>PENDIENTE_CONFIRMACION</x:v>
      </x:c>
    </x:row>
    <x:row r="98">
      <x:c r="A98" s="34" t="str">
        <x:v>Toldos</x:v>
      </x:c>
      <x:c r="B98" s="34" t="str">
        <x:v>N/A</x:v>
      </x:c>
      <x:c r="C98" s="34" t="str">
        <x:v>Lona orillo rojo</x:v>
      </x:c>
      <x:c r="D98" s="34" t="n">
        <x:v>4</x:v>
      </x:c>
      <x:c r="E98" s="34" t="n">
        <x:v>3</x:v>
      </x:c>
      <x:c r="F98" s="34"/>
      <x:c r="G98" s="34" t="str">
        <x:v>N/A</x:v>
      </x:c>
      <x:c r="H98" s="34" t="str">
        <x:v>N/A</x:v>
      </x:c>
      <x:c r="I98" s="34"/>
      <x:c r="J98" s="34"/>
      <x:c r="K98" s="34"/>
      <x:c r="L98" s="34"/>
      <x:c r="M98" s="34"/>
      <x:c r="N98" s="34" t="str">
        <x:v>PENDIENTE_CONFIRMACION</x:v>
      </x:c>
    </x:row>
    <x:row r="99">
      <x:c r="A99" s="34" t="str">
        <x:v>Toldos</x:v>
      </x:c>
      <x:c r="B99" s="34" t="str">
        <x:v>N/A</x:v>
      </x:c>
      <x:c r="C99" s="34" t="str">
        <x:v>Lona orillo rojo</x:v>
      </x:c>
      <x:c r="D99" s="34" t="n">
        <x:v>5</x:v>
      </x:c>
      <x:c r="E99" s="34" t="n">
        <x:v>4</x:v>
      </x:c>
      <x:c r="F99" s="34"/>
      <x:c r="G99" s="34" t="str">
        <x:v>N/A</x:v>
      </x:c>
      <x:c r="H99" s="34" t="str">
        <x:v>N/A</x:v>
      </x:c>
      <x:c r="I99" s="34"/>
      <x:c r="J99" s="34"/>
      <x:c r="K99" s="34"/>
      <x:c r="L99" s="34"/>
      <x:c r="M99" s="34"/>
      <x:c r="N99" s="34" t="str">
        <x:v>PENDIENTE_CONFIRMACION</x:v>
      </x:c>
    </x:row>
    <x:row r="100">
      <x:c r="A100" s="34" t="str">
        <x:v>Toldos</x:v>
      </x:c>
      <x:c r="B100" s="34" t="str">
        <x:v>N/A</x:v>
      </x:c>
      <x:c r="C100" s="34" t="str">
        <x:v>Lona orillo rojo</x:v>
      </x:c>
      <x:c r="D100" s="34" t="n">
        <x:v>6</x:v>
      </x:c>
      <x:c r="E100" s="34" t="n">
        <x:v>3</x:v>
      </x:c>
      <x:c r="F100" s="34"/>
      <x:c r="G100" s="34" t="str">
        <x:v>N/A</x:v>
      </x:c>
      <x:c r="H100" s="34" t="str">
        <x:v>N/A</x:v>
      </x:c>
      <x:c r="I100" s="34"/>
      <x:c r="J100" s="34"/>
      <x:c r="K100" s="34"/>
      <x:c r="L100" s="34"/>
      <x:c r="M100" s="34"/>
      <x:c r="N100" s="34" t="str">
        <x:v>PENDIENTE_CONFIRMACION</x:v>
      </x:c>
    </x:row>
    <x:row r="101">
      <x:c r="A101" s="34" t="str">
        <x:v>Toldos</x:v>
      </x:c>
      <x:c r="B101" s="34" t="str">
        <x:v>N/A</x:v>
      </x:c>
      <x:c r="C101" s="34" t="str">
        <x:v>Lona orillo rojo</x:v>
      </x:c>
      <x:c r="D101" s="34" t="n">
        <x:v>6</x:v>
      </x:c>
      <x:c r="E101" s="34" t="n">
        <x:v>4</x:v>
      </x:c>
      <x:c r="F101" s="34"/>
      <x:c r="G101" s="34" t="str">
        <x:v>N/A</x:v>
      </x:c>
      <x:c r="H101" s="34" t="str">
        <x:v>N/A</x:v>
      </x:c>
      <x:c r="I101" s="34"/>
      <x:c r="J101" s="34"/>
      <x:c r="K101" s="34"/>
      <x:c r="L101" s="34"/>
      <x:c r="M101" s="34"/>
      <x:c r="N101" s="34" t="str">
        <x:v>PENDIENTE_CONFIRMACION</x:v>
      </x:c>
    </x:row>
    <x:row r="102">
      <x:c r="A102" s="34" t="str">
        <x:v>Toldos</x:v>
      </x:c>
      <x:c r="B102" s="34" t="str">
        <x:v>N/A</x:v>
      </x:c>
      <x:c r="C102" s="34" t="str">
        <x:v>Lona orillo rojo</x:v>
      </x:c>
      <x:c r="D102" s="34" t="n">
        <x:v>6</x:v>
      </x:c>
      <x:c r="E102" s="34" t="n">
        <x:v>5</x:v>
      </x:c>
      <x:c r="F102" s="34"/>
      <x:c r="G102" s="34" t="str">
        <x:v>N/A</x:v>
      </x:c>
      <x:c r="H102" s="34" t="str">
        <x:v>N/A</x:v>
      </x:c>
      <x:c r="I102" s="34"/>
      <x:c r="J102" s="34"/>
      <x:c r="K102" s="34"/>
      <x:c r="L102" s="34"/>
      <x:c r="M102" s="34"/>
      <x:c r="N102" s="34" t="str">
        <x:v>PENDIENTE_CONFIRMACION</x:v>
      </x:c>
    </x:row>
    <x:row r="103">
      <x:c r="A103" s="34" t="str">
        <x:v>Toldos</x:v>
      </x:c>
      <x:c r="B103" s="34" t="str">
        <x:v>N/A</x:v>
      </x:c>
      <x:c r="C103" s="34" t="str">
        <x:v>Lona orillo rojo</x:v>
      </x:c>
      <x:c r="D103" s="34" t="n">
        <x:v>7</x:v>
      </x:c>
      <x:c r="E103" s="34" t="n">
        <x:v>4</x:v>
      </x:c>
      <x:c r="F103" s="34"/>
      <x:c r="G103" s="34" t="str">
        <x:v>N/A</x:v>
      </x:c>
      <x:c r="H103" s="34" t="str">
        <x:v>N/A</x:v>
      </x:c>
      <x:c r="I103" s="34"/>
      <x:c r="J103" s="34"/>
      <x:c r="K103" s="34"/>
      <x:c r="L103" s="34"/>
      <x:c r="M103" s="34"/>
      <x:c r="N103" s="34" t="str">
        <x:v>PENDIENTE_CONFIRMACION</x:v>
      </x:c>
    </x:row>
    <x:row r="104">
      <x:c r="A104" s="34" t="str">
        <x:v>Toldos</x:v>
      </x:c>
      <x:c r="B104" s="34" t="str">
        <x:v>N/A</x:v>
      </x:c>
      <x:c r="C104" s="34" t="str">
        <x:v>Lona orillo rojo</x:v>
      </x:c>
      <x:c r="D104" s="34" t="n">
        <x:v>10</x:v>
      </x:c>
      <x:c r="E104" s="34" t="n">
        <x:v>5</x:v>
      </x:c>
      <x:c r="F104" s="34"/>
      <x:c r="G104" s="34" t="str">
        <x:v>N/A</x:v>
      </x:c>
      <x:c r="H104" s="34" t="str">
        <x:v>N/A</x:v>
      </x:c>
      <x:c r="I104" s="34"/>
      <x:c r="J104" s="34"/>
      <x:c r="K104" s="34"/>
      <x:c r="L104" s="34"/>
      <x:c r="M104" s="34"/>
      <x:c r="N104" s="34" t="str">
        <x:v>PENDIENTE_CONFIRMACION</x:v>
      </x:c>
    </x:row>
  </x:sheetData>
  <x:mergeCells>
    <x:mergeCell ref="A1:N3"/>
  </x:mergeCells>
  <x:pageMargins left="0.7" right="0.7" top="0.75" bottom="0.75" header="0.3" footer="0.3"/>
  <x:tableParts count="1">
    <x:tablePart xmlns:r="http://schemas.openxmlformats.org/officeDocument/2006/relationships" r:id="Rc46eb2b9b2114cac"/>
  </x:tableParts>
</x:worksheet>
</file>